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1 Freelance\3 Excel Next\deliverables\"/>
    </mc:Choice>
  </mc:AlternateContent>
  <xr:revisionPtr revIDLastSave="0" documentId="13_ncr:1_{1516FD00-C316-4F84-9820-DF5D7ED9DB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ART HERE" sheetId="1" r:id="rId1"/>
    <sheet name="MASTER DATA" sheetId="2" r:id="rId2"/>
    <sheet name="INPUT LOG" sheetId="3" r:id="rId3"/>
    <sheet name="CALCULATION" sheetId="4" r:id="rId4"/>
    <sheet name="REPORT" sheetId="5" r:id="rId5"/>
    <sheet name="VALIDATION" sheetId="6" r:id="rId6"/>
    <sheet name="CHANGE LOG" sheetId="7" r:id="rId7"/>
  </sheets>
  <definedNames>
    <definedName name="_xlnm._FilterDatabase" localSheetId="3" hidden="1">CALCULATION!$A$4:$I$54</definedName>
    <definedName name="_xlnm._FilterDatabase" localSheetId="2" hidden="1">'INPUT LOG'!$A$4:$P$54</definedName>
    <definedName name="_xlnm._FilterDatabase" localSheetId="1" hidden="1">'MASTER DATA'!$A$4:$H$12</definedName>
    <definedName name="_xlnm._FilterDatabase" localSheetId="4" hidden="1">REPORT!$A$10:$H$60</definedName>
    <definedName name="AssetIDs">'MASTER DATA'!$A$5:$A$12</definedName>
    <definedName name="Technicians">'MASTER DATA'!$J$5:$J$8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5" l="1"/>
  <c r="G60" i="5"/>
  <c r="F60" i="5"/>
  <c r="E60" i="5"/>
  <c r="D60" i="5"/>
  <c r="C60" i="5"/>
  <c r="B60" i="5"/>
  <c r="A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H57" i="5"/>
  <c r="G57" i="5"/>
  <c r="F57" i="5"/>
  <c r="E57" i="5"/>
  <c r="D57" i="5"/>
  <c r="C57" i="5"/>
  <c r="B57" i="5"/>
  <c r="A57" i="5"/>
  <c r="H56" i="5"/>
  <c r="G56" i="5"/>
  <c r="F56" i="5"/>
  <c r="E56" i="5"/>
  <c r="D56" i="5"/>
  <c r="C56" i="5"/>
  <c r="B56" i="5"/>
  <c r="A56" i="5"/>
  <c r="H55" i="5"/>
  <c r="G55" i="5"/>
  <c r="F55" i="5"/>
  <c r="E55" i="5"/>
  <c r="D55" i="5"/>
  <c r="C55" i="5"/>
  <c r="B55" i="5"/>
  <c r="A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A53" i="5"/>
  <c r="H52" i="5"/>
  <c r="G52" i="5"/>
  <c r="F52" i="5"/>
  <c r="E52" i="5"/>
  <c r="D52" i="5"/>
  <c r="C52" i="5"/>
  <c r="B52" i="5"/>
  <c r="A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A50" i="5"/>
  <c r="H49" i="5"/>
  <c r="G49" i="5"/>
  <c r="F49" i="5"/>
  <c r="E49" i="5"/>
  <c r="D49" i="5"/>
  <c r="C49" i="5"/>
  <c r="B49" i="5"/>
  <c r="A49" i="5"/>
  <c r="H48" i="5"/>
  <c r="G48" i="5"/>
  <c r="F48" i="5"/>
  <c r="E48" i="5"/>
  <c r="D48" i="5"/>
  <c r="C48" i="5"/>
  <c r="B48" i="5"/>
  <c r="A48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B41" i="5"/>
  <c r="A41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A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O54" i="3"/>
  <c r="I54" i="4" s="1"/>
  <c r="M54" i="3"/>
  <c r="F54" i="4" s="1"/>
  <c r="I54" i="3"/>
  <c r="E54" i="4" s="1"/>
  <c r="H54" i="3"/>
  <c r="D54" i="4" s="1"/>
  <c r="G54" i="3"/>
  <c r="F54" i="3"/>
  <c r="E54" i="3"/>
  <c r="O53" i="3"/>
  <c r="I53" i="4" s="1"/>
  <c r="M53" i="3"/>
  <c r="F53" i="4" s="1"/>
  <c r="I53" i="3"/>
  <c r="E53" i="4" s="1"/>
  <c r="H53" i="3"/>
  <c r="D53" i="4" s="1"/>
  <c r="G53" i="3"/>
  <c r="F53" i="3"/>
  <c r="E53" i="3"/>
  <c r="O52" i="3"/>
  <c r="I52" i="4" s="1"/>
  <c r="M52" i="3"/>
  <c r="F52" i="4" s="1"/>
  <c r="I52" i="3"/>
  <c r="E52" i="4" s="1"/>
  <c r="H52" i="3"/>
  <c r="D52" i="4" s="1"/>
  <c r="G52" i="3"/>
  <c r="F52" i="3"/>
  <c r="E52" i="3"/>
  <c r="O51" i="3"/>
  <c r="I51" i="4" s="1"/>
  <c r="M51" i="3"/>
  <c r="N51" i="3" s="1"/>
  <c r="G51" i="4" s="1"/>
  <c r="I51" i="3"/>
  <c r="E51" i="4" s="1"/>
  <c r="H51" i="3"/>
  <c r="D51" i="4" s="1"/>
  <c r="G51" i="3"/>
  <c r="F51" i="3"/>
  <c r="E51" i="3"/>
  <c r="O50" i="3"/>
  <c r="I50" i="4" s="1"/>
  <c r="M50" i="3"/>
  <c r="F50" i="4" s="1"/>
  <c r="I50" i="3"/>
  <c r="E50" i="4" s="1"/>
  <c r="H50" i="3"/>
  <c r="D50" i="4" s="1"/>
  <c r="G50" i="3"/>
  <c r="F50" i="3"/>
  <c r="E50" i="3"/>
  <c r="O49" i="3"/>
  <c r="I49" i="4" s="1"/>
  <c r="M49" i="3"/>
  <c r="F49" i="4" s="1"/>
  <c r="I49" i="3"/>
  <c r="E49" i="4" s="1"/>
  <c r="H49" i="3"/>
  <c r="D49" i="4" s="1"/>
  <c r="G49" i="3"/>
  <c r="F49" i="3"/>
  <c r="E49" i="3"/>
  <c r="O48" i="3"/>
  <c r="I48" i="4" s="1"/>
  <c r="M48" i="3"/>
  <c r="F48" i="4" s="1"/>
  <c r="I48" i="3"/>
  <c r="E48" i="4" s="1"/>
  <c r="H48" i="3"/>
  <c r="D48" i="4" s="1"/>
  <c r="G48" i="3"/>
  <c r="F48" i="3"/>
  <c r="E48" i="3"/>
  <c r="O47" i="3"/>
  <c r="I47" i="4" s="1"/>
  <c r="M47" i="3"/>
  <c r="F47" i="4" s="1"/>
  <c r="I47" i="3"/>
  <c r="E47" i="4" s="1"/>
  <c r="H47" i="3"/>
  <c r="D47" i="4" s="1"/>
  <c r="G47" i="3"/>
  <c r="F47" i="3"/>
  <c r="E47" i="3"/>
  <c r="O46" i="3"/>
  <c r="I46" i="4" s="1"/>
  <c r="M46" i="3"/>
  <c r="N46" i="3" s="1"/>
  <c r="G46" i="4" s="1"/>
  <c r="I46" i="3"/>
  <c r="E46" i="4" s="1"/>
  <c r="H46" i="3"/>
  <c r="D46" i="4" s="1"/>
  <c r="G46" i="3"/>
  <c r="F46" i="3"/>
  <c r="E46" i="3"/>
  <c r="O45" i="3"/>
  <c r="I45" i="4" s="1"/>
  <c r="M45" i="3"/>
  <c r="F45" i="4" s="1"/>
  <c r="I45" i="3"/>
  <c r="E45" i="4" s="1"/>
  <c r="H45" i="3"/>
  <c r="D45" i="4" s="1"/>
  <c r="G45" i="3"/>
  <c r="F45" i="3"/>
  <c r="E45" i="3"/>
  <c r="O44" i="3"/>
  <c r="I44" i="4" s="1"/>
  <c r="N44" i="3"/>
  <c r="G44" i="4" s="1"/>
  <c r="M44" i="3"/>
  <c r="F44" i="4" s="1"/>
  <c r="I44" i="3"/>
  <c r="E44" i="4" s="1"/>
  <c r="H44" i="3"/>
  <c r="D44" i="4" s="1"/>
  <c r="G44" i="3"/>
  <c r="F44" i="3"/>
  <c r="E44" i="3"/>
  <c r="O43" i="3"/>
  <c r="I43" i="4" s="1"/>
  <c r="M43" i="3"/>
  <c r="F43" i="4" s="1"/>
  <c r="I43" i="3"/>
  <c r="E43" i="4" s="1"/>
  <c r="H43" i="3"/>
  <c r="D43" i="4" s="1"/>
  <c r="G43" i="3"/>
  <c r="F43" i="3"/>
  <c r="E43" i="3"/>
  <c r="O42" i="3"/>
  <c r="I42" i="4" s="1"/>
  <c r="M42" i="3"/>
  <c r="F42" i="4" s="1"/>
  <c r="I42" i="3"/>
  <c r="E42" i="4" s="1"/>
  <c r="H42" i="3"/>
  <c r="D42" i="4" s="1"/>
  <c r="G42" i="3"/>
  <c r="F42" i="3"/>
  <c r="E42" i="3"/>
  <c r="O41" i="3"/>
  <c r="I41" i="4" s="1"/>
  <c r="M41" i="3"/>
  <c r="F41" i="4" s="1"/>
  <c r="I41" i="3"/>
  <c r="E41" i="4" s="1"/>
  <c r="H41" i="3"/>
  <c r="D41" i="4" s="1"/>
  <c r="G41" i="3"/>
  <c r="F41" i="3"/>
  <c r="E41" i="3"/>
  <c r="O40" i="3"/>
  <c r="I40" i="4" s="1"/>
  <c r="M40" i="3"/>
  <c r="F40" i="4" s="1"/>
  <c r="I40" i="3"/>
  <c r="E40" i="4" s="1"/>
  <c r="H40" i="3"/>
  <c r="D40" i="4" s="1"/>
  <c r="G40" i="3"/>
  <c r="F40" i="3"/>
  <c r="E40" i="3"/>
  <c r="O39" i="3"/>
  <c r="I39" i="4" s="1"/>
  <c r="M39" i="3"/>
  <c r="F39" i="4" s="1"/>
  <c r="I39" i="3"/>
  <c r="E39" i="4" s="1"/>
  <c r="H39" i="3"/>
  <c r="D39" i="4" s="1"/>
  <c r="G39" i="3"/>
  <c r="F39" i="3"/>
  <c r="E39" i="3"/>
  <c r="O38" i="3"/>
  <c r="I38" i="4" s="1"/>
  <c r="M38" i="3"/>
  <c r="N38" i="3" s="1"/>
  <c r="G38" i="4" s="1"/>
  <c r="I38" i="3"/>
  <c r="E38" i="4" s="1"/>
  <c r="H38" i="3"/>
  <c r="D38" i="4" s="1"/>
  <c r="G38" i="3"/>
  <c r="F38" i="3"/>
  <c r="E38" i="3"/>
  <c r="O37" i="3"/>
  <c r="I37" i="4" s="1"/>
  <c r="M37" i="3"/>
  <c r="F37" i="4" s="1"/>
  <c r="I37" i="3"/>
  <c r="E37" i="4" s="1"/>
  <c r="H37" i="3"/>
  <c r="D37" i="4" s="1"/>
  <c r="G37" i="3"/>
  <c r="F37" i="3"/>
  <c r="E37" i="3"/>
  <c r="O36" i="3"/>
  <c r="I36" i="4" s="1"/>
  <c r="M36" i="3"/>
  <c r="F36" i="4" s="1"/>
  <c r="I36" i="3"/>
  <c r="E36" i="4" s="1"/>
  <c r="H36" i="3"/>
  <c r="D36" i="4" s="1"/>
  <c r="G36" i="3"/>
  <c r="F36" i="3"/>
  <c r="E36" i="3"/>
  <c r="O35" i="3"/>
  <c r="I35" i="4" s="1"/>
  <c r="M35" i="3"/>
  <c r="F35" i="4" s="1"/>
  <c r="I35" i="3"/>
  <c r="E35" i="4" s="1"/>
  <c r="H35" i="3"/>
  <c r="D35" i="4" s="1"/>
  <c r="G35" i="3"/>
  <c r="F35" i="3"/>
  <c r="E35" i="3"/>
  <c r="O34" i="3"/>
  <c r="I34" i="4" s="1"/>
  <c r="M34" i="3"/>
  <c r="N34" i="3" s="1"/>
  <c r="G34" i="4" s="1"/>
  <c r="I34" i="3"/>
  <c r="E34" i="4" s="1"/>
  <c r="H34" i="3"/>
  <c r="D34" i="4" s="1"/>
  <c r="G34" i="3"/>
  <c r="F34" i="3"/>
  <c r="E34" i="3"/>
  <c r="O33" i="3"/>
  <c r="I33" i="4" s="1"/>
  <c r="M33" i="3"/>
  <c r="N33" i="3" s="1"/>
  <c r="G33" i="4" s="1"/>
  <c r="I33" i="3"/>
  <c r="E33" i="4" s="1"/>
  <c r="H33" i="3"/>
  <c r="D33" i="4" s="1"/>
  <c r="G33" i="3"/>
  <c r="F33" i="3"/>
  <c r="E33" i="3"/>
  <c r="O32" i="3"/>
  <c r="I32" i="4" s="1"/>
  <c r="M32" i="3"/>
  <c r="F32" i="4" s="1"/>
  <c r="I32" i="3"/>
  <c r="E32" i="4" s="1"/>
  <c r="H32" i="3"/>
  <c r="D32" i="4" s="1"/>
  <c r="G32" i="3"/>
  <c r="F32" i="3"/>
  <c r="E32" i="3"/>
  <c r="O31" i="3"/>
  <c r="I31" i="4" s="1"/>
  <c r="M31" i="3"/>
  <c r="F31" i="4" s="1"/>
  <c r="I31" i="3"/>
  <c r="E31" i="4" s="1"/>
  <c r="H31" i="3"/>
  <c r="D31" i="4" s="1"/>
  <c r="G31" i="3"/>
  <c r="F31" i="3"/>
  <c r="E31" i="3"/>
  <c r="O30" i="3"/>
  <c r="I30" i="4" s="1"/>
  <c r="M30" i="3"/>
  <c r="F30" i="4" s="1"/>
  <c r="I30" i="3"/>
  <c r="E30" i="4" s="1"/>
  <c r="H30" i="3"/>
  <c r="D30" i="4" s="1"/>
  <c r="G30" i="3"/>
  <c r="F30" i="3"/>
  <c r="E30" i="3"/>
  <c r="O29" i="3"/>
  <c r="I29" i="4" s="1"/>
  <c r="N29" i="3"/>
  <c r="G29" i="4" s="1"/>
  <c r="M29" i="3"/>
  <c r="F29" i="4" s="1"/>
  <c r="I29" i="3"/>
  <c r="E29" i="4" s="1"/>
  <c r="H29" i="3"/>
  <c r="D29" i="4" s="1"/>
  <c r="G29" i="3"/>
  <c r="F29" i="3"/>
  <c r="E29" i="3"/>
  <c r="O28" i="3"/>
  <c r="I28" i="4" s="1"/>
  <c r="M28" i="3"/>
  <c r="F28" i="4" s="1"/>
  <c r="I28" i="3"/>
  <c r="E28" i="4" s="1"/>
  <c r="H28" i="3"/>
  <c r="D28" i="4" s="1"/>
  <c r="G28" i="3"/>
  <c r="F28" i="3"/>
  <c r="E28" i="3"/>
  <c r="O27" i="3"/>
  <c r="I27" i="4" s="1"/>
  <c r="N27" i="3"/>
  <c r="G27" i="4" s="1"/>
  <c r="M27" i="3"/>
  <c r="F27" i="4" s="1"/>
  <c r="I27" i="3"/>
  <c r="E27" i="4" s="1"/>
  <c r="H27" i="3"/>
  <c r="D27" i="4" s="1"/>
  <c r="G27" i="3"/>
  <c r="F27" i="3"/>
  <c r="E27" i="3"/>
  <c r="O26" i="3"/>
  <c r="I26" i="4" s="1"/>
  <c r="M26" i="3"/>
  <c r="F26" i="4" s="1"/>
  <c r="I26" i="3"/>
  <c r="E26" i="4" s="1"/>
  <c r="H26" i="3"/>
  <c r="D26" i="4" s="1"/>
  <c r="G26" i="3"/>
  <c r="F26" i="3"/>
  <c r="E26" i="3"/>
  <c r="O25" i="3"/>
  <c r="I25" i="4" s="1"/>
  <c r="M25" i="3"/>
  <c r="F25" i="4" s="1"/>
  <c r="I25" i="3"/>
  <c r="E25" i="4" s="1"/>
  <c r="H25" i="3"/>
  <c r="D25" i="4" s="1"/>
  <c r="G25" i="3"/>
  <c r="F25" i="3"/>
  <c r="E25" i="3"/>
  <c r="O24" i="3"/>
  <c r="I24" i="4" s="1"/>
  <c r="M24" i="3"/>
  <c r="N24" i="3" s="1"/>
  <c r="G24" i="4" s="1"/>
  <c r="I24" i="3"/>
  <c r="E24" i="4" s="1"/>
  <c r="H24" i="3"/>
  <c r="D24" i="4" s="1"/>
  <c r="G24" i="3"/>
  <c r="F24" i="3"/>
  <c r="E24" i="3"/>
  <c r="O23" i="3"/>
  <c r="I23" i="4" s="1"/>
  <c r="M23" i="3"/>
  <c r="F23" i="4" s="1"/>
  <c r="I23" i="3"/>
  <c r="E23" i="4" s="1"/>
  <c r="H23" i="3"/>
  <c r="D23" i="4" s="1"/>
  <c r="G23" i="3"/>
  <c r="F23" i="3"/>
  <c r="E23" i="3"/>
  <c r="O22" i="3"/>
  <c r="I22" i="4" s="1"/>
  <c r="M22" i="3"/>
  <c r="N22" i="3" s="1"/>
  <c r="G22" i="4" s="1"/>
  <c r="I22" i="3"/>
  <c r="E22" i="4" s="1"/>
  <c r="H22" i="3"/>
  <c r="D22" i="4" s="1"/>
  <c r="G22" i="3"/>
  <c r="F22" i="3"/>
  <c r="E22" i="3"/>
  <c r="O21" i="3"/>
  <c r="I21" i="4" s="1"/>
  <c r="M21" i="3"/>
  <c r="F21" i="4" s="1"/>
  <c r="I21" i="3"/>
  <c r="E21" i="4" s="1"/>
  <c r="H21" i="3"/>
  <c r="D21" i="4" s="1"/>
  <c r="G21" i="3"/>
  <c r="F21" i="3"/>
  <c r="E21" i="3"/>
  <c r="O20" i="3"/>
  <c r="I20" i="4" s="1"/>
  <c r="N20" i="3"/>
  <c r="G20" i="4" s="1"/>
  <c r="M20" i="3"/>
  <c r="F20" i="4" s="1"/>
  <c r="I20" i="3"/>
  <c r="E20" i="4" s="1"/>
  <c r="H20" i="3"/>
  <c r="D20" i="4" s="1"/>
  <c r="G20" i="3"/>
  <c r="F20" i="3"/>
  <c r="E20" i="3"/>
  <c r="O19" i="3"/>
  <c r="I19" i="4" s="1"/>
  <c r="M19" i="3"/>
  <c r="F19" i="4" s="1"/>
  <c r="I19" i="3"/>
  <c r="E19" i="4" s="1"/>
  <c r="H19" i="3"/>
  <c r="D19" i="4" s="1"/>
  <c r="G19" i="3"/>
  <c r="F19" i="3"/>
  <c r="E19" i="3"/>
  <c r="O18" i="3"/>
  <c r="I18" i="4" s="1"/>
  <c r="N18" i="3"/>
  <c r="G18" i="4" s="1"/>
  <c r="M18" i="3"/>
  <c r="F18" i="4" s="1"/>
  <c r="I18" i="3"/>
  <c r="E18" i="4" s="1"/>
  <c r="H18" i="3"/>
  <c r="D18" i="4" s="1"/>
  <c r="G18" i="3"/>
  <c r="F18" i="3"/>
  <c r="E18" i="3"/>
  <c r="O17" i="3"/>
  <c r="I17" i="4" s="1"/>
  <c r="M17" i="3"/>
  <c r="F17" i="4" s="1"/>
  <c r="I17" i="3"/>
  <c r="E17" i="4" s="1"/>
  <c r="H17" i="3"/>
  <c r="D17" i="4" s="1"/>
  <c r="G17" i="3"/>
  <c r="F17" i="3"/>
  <c r="E17" i="3"/>
  <c r="O16" i="3"/>
  <c r="I16" i="4" s="1"/>
  <c r="M16" i="3"/>
  <c r="F16" i="4" s="1"/>
  <c r="I16" i="3"/>
  <c r="E16" i="4" s="1"/>
  <c r="H16" i="3"/>
  <c r="D16" i="4" s="1"/>
  <c r="G16" i="3"/>
  <c r="F16" i="3"/>
  <c r="E16" i="3"/>
  <c r="O15" i="3"/>
  <c r="I15" i="4" s="1"/>
  <c r="M15" i="3"/>
  <c r="F15" i="4" s="1"/>
  <c r="I15" i="3"/>
  <c r="E15" i="4" s="1"/>
  <c r="H15" i="3"/>
  <c r="D15" i="4" s="1"/>
  <c r="G15" i="3"/>
  <c r="F15" i="3"/>
  <c r="E15" i="3"/>
  <c r="O14" i="3"/>
  <c r="I14" i="4" s="1"/>
  <c r="N14" i="3"/>
  <c r="G14" i="4" s="1"/>
  <c r="M14" i="3"/>
  <c r="F14" i="4" s="1"/>
  <c r="I14" i="3"/>
  <c r="E14" i="4" s="1"/>
  <c r="H14" i="3"/>
  <c r="D14" i="4" s="1"/>
  <c r="G14" i="3"/>
  <c r="F14" i="3"/>
  <c r="E14" i="3"/>
  <c r="O13" i="3"/>
  <c r="I13" i="4" s="1"/>
  <c r="M13" i="3"/>
  <c r="F13" i="4" s="1"/>
  <c r="I13" i="3"/>
  <c r="E13" i="4" s="1"/>
  <c r="H13" i="3"/>
  <c r="D13" i="4" s="1"/>
  <c r="G13" i="3"/>
  <c r="F13" i="3"/>
  <c r="E13" i="3"/>
  <c r="O12" i="3"/>
  <c r="I12" i="4" s="1"/>
  <c r="M12" i="3"/>
  <c r="N12" i="3" s="1"/>
  <c r="G12" i="4" s="1"/>
  <c r="I12" i="3"/>
  <c r="E12" i="4" s="1"/>
  <c r="H12" i="3"/>
  <c r="D12" i="4" s="1"/>
  <c r="G12" i="3"/>
  <c r="F12" i="3"/>
  <c r="E12" i="3"/>
  <c r="O11" i="3"/>
  <c r="I11" i="4" s="1"/>
  <c r="N11" i="3"/>
  <c r="G11" i="4" s="1"/>
  <c r="M11" i="3"/>
  <c r="F11" i="4" s="1"/>
  <c r="I11" i="3"/>
  <c r="E11" i="4" s="1"/>
  <c r="H11" i="3"/>
  <c r="D11" i="4" s="1"/>
  <c r="G11" i="3"/>
  <c r="F11" i="3"/>
  <c r="E11" i="3"/>
  <c r="O10" i="3"/>
  <c r="I10" i="4" s="1"/>
  <c r="M10" i="3"/>
  <c r="N10" i="3" s="1"/>
  <c r="G10" i="4" s="1"/>
  <c r="I10" i="3"/>
  <c r="E10" i="4" s="1"/>
  <c r="H10" i="3"/>
  <c r="D10" i="4" s="1"/>
  <c r="G10" i="3"/>
  <c r="F10" i="3"/>
  <c r="E10" i="3"/>
  <c r="M9" i="3"/>
  <c r="D9" i="6" s="1"/>
  <c r="I9" i="3"/>
  <c r="E9" i="4" s="1"/>
  <c r="H9" i="3"/>
  <c r="G9" i="3"/>
  <c r="F9" i="3"/>
  <c r="E9" i="3"/>
  <c r="E15" i="5" s="1"/>
  <c r="M8" i="3"/>
  <c r="D8" i="6" s="1"/>
  <c r="I8" i="3"/>
  <c r="E8" i="4" s="1"/>
  <c r="H8" i="3"/>
  <c r="G8" i="3"/>
  <c r="F8" i="3"/>
  <c r="E8" i="3"/>
  <c r="E14" i="5" s="1"/>
  <c r="M7" i="3"/>
  <c r="F7" i="4" s="1"/>
  <c r="I7" i="3"/>
  <c r="E7" i="4" s="1"/>
  <c r="H7" i="3"/>
  <c r="D7" i="4" s="1"/>
  <c r="G7" i="3"/>
  <c r="F7" i="3"/>
  <c r="E7" i="3"/>
  <c r="E13" i="5" s="1"/>
  <c r="M6" i="3"/>
  <c r="D6" i="6" s="1"/>
  <c r="I6" i="3"/>
  <c r="E6" i="4" s="1"/>
  <c r="H6" i="3"/>
  <c r="G6" i="3"/>
  <c r="F6" i="3"/>
  <c r="E6" i="3"/>
  <c r="E12" i="5" s="1"/>
  <c r="M5" i="3"/>
  <c r="D5" i="6" s="1"/>
  <c r="I5" i="3"/>
  <c r="E5" i="4" s="1"/>
  <c r="H5" i="3"/>
  <c r="D5" i="4" s="1"/>
  <c r="G5" i="3"/>
  <c r="F5" i="3"/>
  <c r="E5" i="3"/>
  <c r="E11" i="5" s="1"/>
  <c r="N32" i="3" l="1"/>
  <c r="G32" i="4" s="1"/>
  <c r="N50" i="3"/>
  <c r="G50" i="4" s="1"/>
  <c r="N47" i="3"/>
  <c r="G47" i="4" s="1"/>
  <c r="N6" i="3"/>
  <c r="N8" i="3"/>
  <c r="G14" i="5" s="1"/>
  <c r="N21" i="3"/>
  <c r="G21" i="4" s="1"/>
  <c r="N39" i="3"/>
  <c r="G39" i="4" s="1"/>
  <c r="N36" i="3"/>
  <c r="G36" i="4" s="1"/>
  <c r="N54" i="3"/>
  <c r="G54" i="4" s="1"/>
  <c r="N41" i="3"/>
  <c r="G41" i="4" s="1"/>
  <c r="F46" i="4"/>
  <c r="N9" i="3"/>
  <c r="G15" i="5" s="1"/>
  <c r="N30" i="3"/>
  <c r="G30" i="4" s="1"/>
  <c r="F12" i="4"/>
  <c r="F51" i="4"/>
  <c r="F24" i="4"/>
  <c r="N23" i="3"/>
  <c r="G23" i="4" s="1"/>
  <c r="N48" i="3"/>
  <c r="G48" i="4" s="1"/>
  <c r="F9" i="4"/>
  <c r="N26" i="3"/>
  <c r="G26" i="4" s="1"/>
  <c r="N45" i="3"/>
  <c r="G45" i="4" s="1"/>
  <c r="N15" i="3"/>
  <c r="G15" i="4" s="1"/>
  <c r="N17" i="3"/>
  <c r="G17" i="4" s="1"/>
  <c r="N42" i="3"/>
  <c r="G42" i="4" s="1"/>
  <c r="N53" i="3"/>
  <c r="G53" i="4" s="1"/>
  <c r="F33" i="4"/>
  <c r="F11" i="5"/>
  <c r="F6" i="4"/>
  <c r="F10" i="4"/>
  <c r="F14" i="5"/>
  <c r="F22" i="4"/>
  <c r="F38" i="4"/>
  <c r="F34" i="4"/>
  <c r="F12" i="5"/>
  <c r="N35" i="3"/>
  <c r="G35" i="4" s="1"/>
  <c r="F15" i="5"/>
  <c r="G9" i="4"/>
  <c r="O8" i="3"/>
  <c r="G8" i="4"/>
  <c r="G6" i="4"/>
  <c r="G12" i="5"/>
  <c r="O6" i="3"/>
  <c r="F8" i="4"/>
  <c r="D8" i="4"/>
  <c r="N5" i="3"/>
  <c r="F13" i="5"/>
  <c r="D7" i="6"/>
  <c r="F5" i="4"/>
  <c r="N7" i="3"/>
  <c r="N13" i="3"/>
  <c r="G13" i="4" s="1"/>
  <c r="N16" i="3"/>
  <c r="G16" i="4" s="1"/>
  <c r="N19" i="3"/>
  <c r="G19" i="4" s="1"/>
  <c r="N25" i="3"/>
  <c r="G25" i="4" s="1"/>
  <c r="N28" i="3"/>
  <c r="G28" i="4" s="1"/>
  <c r="N31" i="3"/>
  <c r="G31" i="4" s="1"/>
  <c r="N37" i="3"/>
  <c r="G37" i="4" s="1"/>
  <c r="N40" i="3"/>
  <c r="G40" i="4" s="1"/>
  <c r="N43" i="3"/>
  <c r="G43" i="4" s="1"/>
  <c r="N49" i="3"/>
  <c r="G49" i="4" s="1"/>
  <c r="N52" i="3"/>
  <c r="G52" i="4" s="1"/>
  <c r="D9" i="4"/>
  <c r="D6" i="4"/>
  <c r="O9" i="3" l="1"/>
  <c r="G11" i="5"/>
  <c r="G5" i="4"/>
  <c r="O5" i="3"/>
  <c r="F8" i="6"/>
  <c r="G8" i="6" s="1"/>
  <c r="I8" i="4"/>
  <c r="H14" i="5"/>
  <c r="O7" i="3"/>
  <c r="G7" i="4"/>
  <c r="G13" i="5"/>
  <c r="F9" i="6"/>
  <c r="G9" i="6" s="1"/>
  <c r="I9" i="4"/>
  <c r="H15" i="5"/>
  <c r="H12" i="5"/>
  <c r="F6" i="6"/>
  <c r="G6" i="6" s="1"/>
  <c r="I6" i="4"/>
  <c r="F5" i="6" l="1"/>
  <c r="G5" i="6" s="1"/>
  <c r="I5" i="4"/>
  <c r="J5" i="5"/>
  <c r="G5" i="5"/>
  <c r="D5" i="5"/>
  <c r="A5" i="5"/>
  <c r="H11" i="5"/>
  <c r="I7" i="4"/>
  <c r="F7" i="6"/>
  <c r="G7" i="6" s="1"/>
  <c r="H13" i="5"/>
</calcChain>
</file>

<file path=xl/sharedStrings.xml><?xml version="1.0" encoding="utf-8"?>
<sst xmlns="http://schemas.openxmlformats.org/spreadsheetml/2006/main" count="262" uniqueCount="149">
  <si>
    <t>CONTOH PERBAIKAN WORKBOOK</t>
  </si>
  <si>
    <t>Contoh ini dibuat ulang dari pengalaman sebelumnya. Semua nama dan data pengukuran bersifat fiktif.</t>
  </si>
  <si>
    <t>Yang diperlihatkan dalam contoh ini</t>
  </si>
  <si>
    <t>Teknisi mengisi data di satu sheet. Informasi alat diambil dari MASTER DATA, lalu workbook menghitung hasil dan memperbarui laporan. Reviewer tetap dapat mengikuti angka yang dipakai dalam perhitungan.</t>
  </si>
  <si>
    <t>Alur workbook</t>
  </si>
  <si>
    <t>1  INPUT LOG
Diisi oleh teknisi</t>
  </si>
  <si>
    <t>2  MASTER DATA
Referensi alat</t>
  </si>
  <si>
    <t>3  CALCULATION
Rincian hitung</t>
  </si>
  <si>
    <t>4  REPORT
Ringkasan hasil</t>
  </si>
  <si>
    <t>→</t>
  </si>
  <si>
    <t>Cara menggunakan</t>
  </si>
  <si>
    <t>1. Buka INPUT LOG. Teknisi hanya perlu mengisi sel berwarna kuning.</t>
  </si>
  <si>
    <t>2. Pilih Asset ID dan nama teknisi dari daftar yang tersedia.</t>
  </si>
  <si>
    <t>3. Isi tiga hasil pengukuran. Workbook akan menghitung rata-rata, selisih, dan status.</t>
  </si>
  <si>
    <t>4. Buka REPORT untuk melihat rekap. Hasil kasus acuan ada di VALIDATION.</t>
  </si>
  <si>
    <t>5. File demo tidak dikunci agar rumus dapat diperiksa. Proteksi dapat diaktifkan saat masuk tahap UAT.</t>
  </si>
  <si>
    <t>Legenda</t>
  </si>
  <si>
    <t>Input pengguna</t>
  </si>
  <si>
    <t>Hasil perhitungan</t>
  </si>
  <si>
    <t>Data referensi</t>
  </si>
  <si>
    <t>Perlu perhatian</t>
  </si>
  <si>
    <t>MASTER DATA</t>
  </si>
  <si>
    <t>Daftar alat dan nilai acuan. Hanya pengelola data yang boleh mengubah sheet ini.</t>
  </si>
  <si>
    <t>Asset ID</t>
  </si>
  <si>
    <t>Nama alat</t>
  </si>
  <si>
    <t>Lokasi</t>
  </si>
  <si>
    <t>Unit</t>
  </si>
  <si>
    <t>Nilai acuan</t>
  </si>
  <si>
    <t>Toleransi +/-</t>
  </si>
  <si>
    <t>Aktif</t>
  </si>
  <si>
    <t>Penanggung jawab</t>
  </si>
  <si>
    <t>Teknisi</t>
  </si>
  <si>
    <t>AST-001</t>
  </si>
  <si>
    <t>Pressure Gauge 0 to 10 bar</t>
  </si>
  <si>
    <t>Workshop A</t>
  </si>
  <si>
    <t>bar</t>
  </si>
  <si>
    <t>Yes</t>
  </si>
  <si>
    <t>Engineering</t>
  </si>
  <si>
    <t>Ayu Pratama</t>
  </si>
  <si>
    <t>AST-002</t>
  </si>
  <si>
    <t>Temperature Sensor</t>
  </si>
  <si>
    <t>Line 1</t>
  </si>
  <si>
    <t>deg C</t>
  </si>
  <si>
    <t>Bima Santoso</t>
  </si>
  <si>
    <t>AST-003</t>
  </si>
  <si>
    <t>Flow Meter</t>
  </si>
  <si>
    <t>Utility Area</t>
  </si>
  <si>
    <t>L/min</t>
  </si>
  <si>
    <t>Maintenance</t>
  </si>
  <si>
    <t>Citra Lestari</t>
  </si>
  <si>
    <t>AST-004</t>
  </si>
  <si>
    <t>Digital Caliper</t>
  </si>
  <si>
    <t>QC Laboratory</t>
  </si>
  <si>
    <t>mm</t>
  </si>
  <si>
    <t>Quality</t>
  </si>
  <si>
    <t>Danu Wijaya</t>
  </si>
  <si>
    <t>AST-005</t>
  </si>
  <si>
    <t>Torque Wrench</t>
  </si>
  <si>
    <t>Assembly</t>
  </si>
  <si>
    <t>N m</t>
  </si>
  <si>
    <t>AST-006</t>
  </si>
  <si>
    <t>Weighing Scale</t>
  </si>
  <si>
    <t>Warehouse</t>
  </si>
  <si>
    <t>kg</t>
  </si>
  <si>
    <t>Operations</t>
  </si>
  <si>
    <t>AST-007</t>
  </si>
  <si>
    <t>Humidity Sensor</t>
  </si>
  <si>
    <t>Storage Room</t>
  </si>
  <si>
    <t>%RH</t>
  </si>
  <si>
    <t>AST-008</t>
  </si>
  <si>
    <t>Voltage Meter</t>
  </si>
  <si>
    <t>Electrical Shop</t>
  </si>
  <si>
    <t>V</t>
  </si>
  <si>
    <t>Electrical</t>
  </si>
  <si>
    <t>CATATAN PEMERIKSAAN TEKNISI</t>
  </si>
  <si>
    <t>Isi sel berwarna kuning. Sel biru berisi rumus. Proteksi sengaja dimatikan pada file demo.</t>
  </si>
  <si>
    <t>Work Order</t>
  </si>
  <si>
    <t>Tanggal</t>
  </si>
  <si>
    <t>Pengukuran 1</t>
  </si>
  <si>
    <t>Pengukuran 2</t>
  </si>
  <si>
    <t>Pengukuran 3</t>
  </si>
  <si>
    <t>Rata-rata</t>
  </si>
  <si>
    <t>Selisih</t>
  </si>
  <si>
    <t>Status</t>
  </si>
  <si>
    <t>Catatan</t>
  </si>
  <si>
    <t>WO-2401</t>
  </si>
  <si>
    <t>Pemeriksaan rutin</t>
  </si>
  <si>
    <t>WO-2402</t>
  </si>
  <si>
    <t>WO-2403</t>
  </si>
  <si>
    <t>Periksa penyimpangan</t>
  </si>
  <si>
    <t>WO-2404</t>
  </si>
  <si>
    <t>WO-2405</t>
  </si>
  <si>
    <t>Perlu diperiksa ulang</t>
  </si>
  <si>
    <t>RINCIAN PERHITUNGAN</t>
  </si>
  <si>
    <t>Sheet ini hanya untuk dibaca. Setiap baris mengikuti data pada INPUT LOG.</t>
  </si>
  <si>
    <t>Baris</t>
  </si>
  <si>
    <t>Toleransi</t>
  </si>
  <si>
    <t>Aturan</t>
  </si>
  <si>
    <t>ABS(Selisih) &lt;= Toleransi</t>
  </si>
  <si>
    <t>RINGKASAN HASIL</t>
  </si>
  <si>
    <t>Angka pada sheet ini dibaca langsung dari INPUT LOG.</t>
  </si>
  <si>
    <t>Selesai diisi</t>
  </si>
  <si>
    <t>PASS</t>
  </si>
  <si>
    <t>Perlu diperiksa</t>
  </si>
  <si>
    <t>Belum lengkap</t>
  </si>
  <si>
    <t>Daftar pekerjaan</t>
  </si>
  <si>
    <t>PEMERIKSAAN HASIL</t>
  </si>
  <si>
    <t>Nilai acuan di kolom kuning dibandingkan dengan hasil hitung workbook.</t>
  </si>
  <si>
    <t>Test ID</t>
  </si>
  <si>
    <t>Rata-rata acuan</t>
  </si>
  <si>
    <t>Hasil workbook</t>
  </si>
  <si>
    <t>Status acuan</t>
  </si>
  <si>
    <t>Status workbook</t>
  </si>
  <si>
    <t>Hasil cek</t>
  </si>
  <si>
    <t>TC-001</t>
  </si>
  <si>
    <t>Tekanan masih dalam toleransi</t>
  </si>
  <si>
    <t>TC-002</t>
  </si>
  <si>
    <t>Suhu masih dalam toleransi</t>
  </si>
  <si>
    <t>TC-003</t>
  </si>
  <si>
    <t>REVIEW</t>
  </si>
  <si>
    <t>Aliran melewati toleransi</t>
  </si>
  <si>
    <t>TC-004</t>
  </si>
  <si>
    <t>Kaliper masih dalam toleransi</t>
  </si>
  <si>
    <t>TC-005</t>
  </si>
  <si>
    <t>Timbangan melewati toleransi</t>
  </si>
  <si>
    <t>Syarat penerimaan</t>
  </si>
  <si>
    <t>Semua baris di kolom Hasil cek harus berstatus PASS. Jika ada perbedaan, catat penyebab dan persetujuannya di CHANGE LOG sebelum file diberikan kepada pengguna untuk UAT.</t>
  </si>
  <si>
    <t>CHANGE LOG</t>
  </si>
  <si>
    <t>Isi satu baris setiap kali struktur, rumus, atau aturan workbook berubah.</t>
  </si>
  <si>
    <t>Versi</t>
  </si>
  <si>
    <t>Bagian</t>
  </si>
  <si>
    <t>Perubahan</t>
  </si>
  <si>
    <t>Alasan</t>
  </si>
  <si>
    <t>Persetujuan teknis</t>
  </si>
  <si>
    <t>Diperiksa oleh</t>
  </si>
  <si>
    <t>0.1</t>
  </si>
  <si>
    <t>Struktur workbook</t>
  </si>
  <si>
    <t>Memisahkan input, master data, perhitungan, laporan, dan validasi</t>
  </si>
  <si>
    <t>Membuat contoh kerja</t>
  </si>
  <si>
    <t>Tidak berlaku, data fiktif</t>
  </si>
  <si>
    <t>Pemeriksaan mandiri</t>
  </si>
  <si>
    <t>Selesai</t>
  </si>
  <si>
    <t>Kontrol input</t>
  </si>
  <si>
    <t>Menambahkan dropdown, batas nilai, warna sel, dan proteksi formula</t>
  </si>
  <si>
    <t>Mengurangi salah input</t>
  </si>
  <si>
    <t>Perhitungan</t>
  </si>
  <si>
    <t>Menetapkan aturan contoh: ABS(selisih) &lt;= toleransi</t>
  </si>
  <si>
    <t>Menguji alur perhitungan</t>
  </si>
  <si>
    <t>Ganti dengan aturan yang disetujui klien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</si>
</sst>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5B6573"/>
      <name val="Calibri"/>
    </font>
    <font>
      <b/>
      <sz val="11"/>
      <color rgb="FFFFFFFF"/>
      <name val="Calibri"/>
    </font>
    <font>
      <b/>
      <sz val="11"/>
      <color rgb="FF243447"/>
      <name val="Calibri"/>
    </font>
    <font>
      <b/>
      <sz val="22"/>
      <color rgb="FF0F6B78"/>
      <name val="Calibri"/>
    </font>
    <font>
      <b/>
      <sz val="11"/>
      <name val="Calibri"/>
    </font>
    <font>
      <b/>
      <sz val="12"/>
      <color rgb="FF243447"/>
      <name val="Calibri"/>
    </font>
    <font>
      <b/>
      <sz val="20"/>
      <color rgb="FF17365D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0F6B78"/>
      </left>
      <right style="medium">
        <color rgb="FF0F6B78"/>
      </right>
      <top style="medium">
        <color rgb="FF0F6B78"/>
      </top>
      <bottom style="medium">
        <color rgb="FF0F6B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 applyProtection="1">
      <alignment vertical="center" wrapText="1"/>
      <protection locked="0"/>
    </xf>
    <xf numFmtId="0" fontId="0" fillId="6" borderId="2" xfId="0" applyFill="1" applyBorder="1" applyProtection="1">
      <protection locked="0"/>
    </xf>
    <xf numFmtId="0" fontId="3" fillId="2" borderId="2" xfId="0" applyFont="1" applyFill="1" applyBorder="1" applyAlignment="1">
      <alignment vertical="center" wrapText="1"/>
    </xf>
    <xf numFmtId="0" fontId="0" fillId="5" borderId="2" xfId="0" applyFill="1" applyBorder="1" applyAlignment="1" applyProtection="1">
      <alignment vertical="center" wrapText="1"/>
      <protection locked="0"/>
    </xf>
    <xf numFmtId="164" fontId="0" fillId="5" borderId="2" xfId="0" applyNumberFormat="1" applyFill="1" applyBorder="1" applyAlignment="1" applyProtection="1">
      <alignment vertical="center" wrapText="1"/>
      <protection locked="0"/>
    </xf>
    <xf numFmtId="0" fontId="0" fillId="7" borderId="2" xfId="0" applyFill="1" applyBorder="1" applyAlignment="1">
      <alignment vertical="center" wrapText="1"/>
    </xf>
    <xf numFmtId="165" fontId="0" fillId="7" borderId="2" xfId="0" applyNumberFormat="1" applyFill="1" applyBorder="1" applyAlignment="1">
      <alignment vertical="center" wrapText="1"/>
    </xf>
    <xf numFmtId="165" fontId="0" fillId="5" borderId="2" xfId="0" applyNumberFormat="1" applyFill="1" applyBorder="1" applyAlignment="1" applyProtection="1">
      <alignment vertical="center" wrapText="1"/>
      <protection locked="0"/>
    </xf>
    <xf numFmtId="0" fontId="0" fillId="4" borderId="2" xfId="0" applyFill="1" applyBorder="1" applyAlignment="1">
      <alignment vertical="center" wrapText="1"/>
    </xf>
    <xf numFmtId="164" fontId="0" fillId="4" borderId="2" xfId="0" applyNumberFormat="1" applyFill="1" applyBorder="1" applyAlignment="1">
      <alignment vertical="center" wrapText="1"/>
    </xf>
    <xf numFmtId="165" fontId="0" fillId="4" borderId="2" xfId="0" applyNumberForma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0" width="15" customWidth="1"/>
  </cols>
  <sheetData>
    <row r="1" spans="1:10" ht="32.1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 x14ac:dyDescent="0.25">
      <c r="A2" s="2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25">
      <c r="A4" s="1" t="s">
        <v>2</v>
      </c>
    </row>
    <row r="5" spans="1:10" x14ac:dyDescent="0.25">
      <c r="A5" s="19" t="s">
        <v>3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8" spans="1:10" x14ac:dyDescent="0.25">
      <c r="A8" s="1" t="s">
        <v>4</v>
      </c>
    </row>
    <row r="10" spans="1:10" x14ac:dyDescent="0.25">
      <c r="A10" s="18" t="s">
        <v>5</v>
      </c>
      <c r="B10" s="16"/>
      <c r="D10" s="21" t="s">
        <v>6</v>
      </c>
      <c r="E10" s="16"/>
      <c r="G10" s="25" t="s">
        <v>7</v>
      </c>
      <c r="H10" s="16"/>
      <c r="I10" s="17" t="s">
        <v>8</v>
      </c>
      <c r="J10" s="16"/>
    </row>
    <row r="11" spans="1:10" ht="28.5" x14ac:dyDescent="0.45">
      <c r="A11" s="16"/>
      <c r="B11" s="16"/>
      <c r="C11" s="2" t="s">
        <v>9</v>
      </c>
      <c r="D11" s="16"/>
      <c r="E11" s="16"/>
      <c r="F11" s="2" t="s">
        <v>9</v>
      </c>
      <c r="G11" s="16"/>
      <c r="H11" s="16"/>
      <c r="I11" s="16"/>
      <c r="J11" s="16"/>
    </row>
    <row r="12" spans="1:10" x14ac:dyDescent="0.25">
      <c r="A12" s="16"/>
      <c r="B12" s="16"/>
      <c r="D12" s="16"/>
      <c r="E12" s="16"/>
      <c r="G12" s="16"/>
      <c r="H12" s="16"/>
      <c r="I12" s="16"/>
      <c r="J12" s="16"/>
    </row>
    <row r="15" spans="1:10" x14ac:dyDescent="0.25">
      <c r="A15" s="1" t="s">
        <v>10</v>
      </c>
    </row>
    <row r="16" spans="1:10" x14ac:dyDescent="0.25">
      <c r="A16" s="20" t="s">
        <v>11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25">
      <c r="A17" s="19" t="s">
        <v>12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20" t="s">
        <v>13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9" t="s">
        <v>14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20" t="s">
        <v>15</v>
      </c>
      <c r="B20" s="16"/>
      <c r="C20" s="16"/>
      <c r="D20" s="16"/>
      <c r="E20" s="16"/>
      <c r="F20" s="16"/>
      <c r="G20" s="16"/>
      <c r="H20" s="16"/>
      <c r="I20" s="16"/>
      <c r="J20" s="16"/>
    </row>
    <row r="23" spans="1:10" x14ac:dyDescent="0.25">
      <c r="A23" s="1" t="s">
        <v>16</v>
      </c>
    </row>
    <row r="24" spans="1:10" x14ac:dyDescent="0.25">
      <c r="A24" s="22" t="s">
        <v>17</v>
      </c>
      <c r="B24" s="16"/>
      <c r="D24" s="27" t="s">
        <v>18</v>
      </c>
      <c r="E24" s="16"/>
      <c r="G24" s="23" t="s">
        <v>19</v>
      </c>
      <c r="H24" s="16"/>
      <c r="I24" s="24" t="s">
        <v>20</v>
      </c>
      <c r="J24" s="16"/>
    </row>
    <row r="25" spans="1:10" x14ac:dyDescent="0.25">
      <c r="A25" s="16"/>
      <c r="B25" s="16"/>
      <c r="D25" s="16"/>
      <c r="E25" s="16"/>
      <c r="G25" s="16"/>
      <c r="H25" s="16"/>
      <c r="I25" s="16"/>
      <c r="J25" s="16"/>
    </row>
  </sheetData>
  <mergeCells count="16">
    <mergeCell ref="A17:J17"/>
    <mergeCell ref="A18:J18"/>
    <mergeCell ref="A24:B25"/>
    <mergeCell ref="G24:H25"/>
    <mergeCell ref="I24:J25"/>
    <mergeCell ref="A20:J20"/>
    <mergeCell ref="D24:E25"/>
    <mergeCell ref="A19:J19"/>
    <mergeCell ref="A1:J1"/>
    <mergeCell ref="I10:J12"/>
    <mergeCell ref="A10:B12"/>
    <mergeCell ref="A5:J6"/>
    <mergeCell ref="A16:J16"/>
    <mergeCell ref="D10:E12"/>
    <mergeCell ref="G10:H1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29" customWidth="1"/>
    <col min="3" max="3" width="18" customWidth="1"/>
    <col min="4" max="4" width="12" customWidth="1"/>
    <col min="5" max="6" width="14" customWidth="1"/>
    <col min="7" max="7" width="11" customWidth="1"/>
    <col min="8" max="8" width="18" customWidth="1"/>
    <col min="9" max="9" width="3" customWidth="1"/>
    <col min="10" max="10" width="22" customWidth="1"/>
  </cols>
  <sheetData>
    <row r="1" spans="1:10" ht="32.1" customHeight="1" x14ac:dyDescent="0.25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 x14ac:dyDescent="0.25">
      <c r="A2" s="26" t="s">
        <v>22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3" t="s">
        <v>31</v>
      </c>
    </row>
    <row r="5" spans="1:10" x14ac:dyDescent="0.25">
      <c r="A5" s="4" t="s">
        <v>32</v>
      </c>
      <c r="B5" s="4" t="s">
        <v>33</v>
      </c>
      <c r="C5" s="4" t="s">
        <v>34</v>
      </c>
      <c r="D5" s="4" t="s">
        <v>35</v>
      </c>
      <c r="E5" s="4">
        <v>5</v>
      </c>
      <c r="F5" s="4">
        <v>0.1</v>
      </c>
      <c r="G5" s="4" t="s">
        <v>36</v>
      </c>
      <c r="H5" s="4" t="s">
        <v>37</v>
      </c>
      <c r="J5" s="5" t="s">
        <v>38</v>
      </c>
    </row>
    <row r="6" spans="1:10" x14ac:dyDescent="0.25">
      <c r="A6" s="4" t="s">
        <v>39</v>
      </c>
      <c r="B6" s="4" t="s">
        <v>40</v>
      </c>
      <c r="C6" s="4" t="s">
        <v>41</v>
      </c>
      <c r="D6" s="4" t="s">
        <v>42</v>
      </c>
      <c r="E6" s="4">
        <v>100</v>
      </c>
      <c r="F6" s="4">
        <v>0.5</v>
      </c>
      <c r="G6" s="4" t="s">
        <v>36</v>
      </c>
      <c r="H6" s="4" t="s">
        <v>37</v>
      </c>
      <c r="J6" s="5" t="s">
        <v>43</v>
      </c>
    </row>
    <row r="7" spans="1:10" x14ac:dyDescent="0.25">
      <c r="A7" s="4" t="s">
        <v>44</v>
      </c>
      <c r="B7" s="4" t="s">
        <v>45</v>
      </c>
      <c r="C7" s="4" t="s">
        <v>46</v>
      </c>
      <c r="D7" s="4" t="s">
        <v>47</v>
      </c>
      <c r="E7" s="4">
        <v>50</v>
      </c>
      <c r="F7" s="4">
        <v>1</v>
      </c>
      <c r="G7" s="4" t="s">
        <v>36</v>
      </c>
      <c r="H7" s="4" t="s">
        <v>48</v>
      </c>
      <c r="J7" s="5" t="s">
        <v>49</v>
      </c>
    </row>
    <row r="8" spans="1:10" x14ac:dyDescent="0.25">
      <c r="A8" s="4" t="s">
        <v>50</v>
      </c>
      <c r="B8" s="4" t="s">
        <v>51</v>
      </c>
      <c r="C8" s="4" t="s">
        <v>52</v>
      </c>
      <c r="D8" s="4" t="s">
        <v>53</v>
      </c>
      <c r="E8" s="4">
        <v>25</v>
      </c>
      <c r="F8" s="4">
        <v>0.05</v>
      </c>
      <c r="G8" s="4" t="s">
        <v>36</v>
      </c>
      <c r="H8" s="4" t="s">
        <v>54</v>
      </c>
      <c r="J8" s="5" t="s">
        <v>55</v>
      </c>
    </row>
    <row r="9" spans="1:10" x14ac:dyDescent="0.25">
      <c r="A9" s="4" t="s">
        <v>56</v>
      </c>
      <c r="B9" s="4" t="s">
        <v>57</v>
      </c>
      <c r="C9" s="4" t="s">
        <v>58</v>
      </c>
      <c r="D9" s="4" t="s">
        <v>59</v>
      </c>
      <c r="E9" s="4">
        <v>80</v>
      </c>
      <c r="F9" s="4">
        <v>2</v>
      </c>
      <c r="G9" s="4" t="s">
        <v>36</v>
      </c>
      <c r="H9" s="4" t="s">
        <v>54</v>
      </c>
    </row>
    <row r="10" spans="1:10" x14ac:dyDescent="0.25">
      <c r="A10" s="4" t="s">
        <v>60</v>
      </c>
      <c r="B10" s="4" t="s">
        <v>61</v>
      </c>
      <c r="C10" s="4" t="s">
        <v>62</v>
      </c>
      <c r="D10" s="4" t="s">
        <v>63</v>
      </c>
      <c r="E10" s="4">
        <v>10</v>
      </c>
      <c r="F10" s="4">
        <v>0.02</v>
      </c>
      <c r="G10" s="4" t="s">
        <v>36</v>
      </c>
      <c r="H10" s="4" t="s">
        <v>64</v>
      </c>
    </row>
    <row r="11" spans="1:10" x14ac:dyDescent="0.25">
      <c r="A11" s="4" t="s">
        <v>65</v>
      </c>
      <c r="B11" s="4" t="s">
        <v>66</v>
      </c>
      <c r="C11" s="4" t="s">
        <v>67</v>
      </c>
      <c r="D11" s="4" t="s">
        <v>68</v>
      </c>
      <c r="E11" s="4">
        <v>60</v>
      </c>
      <c r="F11" s="4">
        <v>2</v>
      </c>
      <c r="G11" s="4" t="s">
        <v>36</v>
      </c>
      <c r="H11" s="4" t="s">
        <v>37</v>
      </c>
    </row>
    <row r="12" spans="1:10" x14ac:dyDescent="0.25">
      <c r="A12" s="4" t="s">
        <v>69</v>
      </c>
      <c r="B12" s="4" t="s">
        <v>70</v>
      </c>
      <c r="C12" s="4" t="s">
        <v>71</v>
      </c>
      <c r="D12" s="4" t="s">
        <v>72</v>
      </c>
      <c r="E12" s="4">
        <v>220</v>
      </c>
      <c r="F12" s="4">
        <v>1</v>
      </c>
      <c r="G12" s="4" t="s">
        <v>36</v>
      </c>
      <c r="H12" s="4" t="s">
        <v>73</v>
      </c>
    </row>
  </sheetData>
  <autoFilter ref="A4:H12" xr:uid="{00000000-0009-0000-0000-000001000000}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13" customWidth="1"/>
    <col min="3" max="3" width="20" customWidth="1"/>
    <col min="4" max="4" width="13" customWidth="1"/>
    <col min="5" max="5" width="27" customWidth="1"/>
    <col min="6" max="6" width="18" customWidth="1"/>
    <col min="7" max="7" width="10" customWidth="1"/>
    <col min="8" max="9" width="13" customWidth="1"/>
    <col min="10" max="12" width="12" customWidth="1"/>
    <col min="13" max="14" width="13" customWidth="1"/>
    <col min="15" max="15" width="14" customWidth="1"/>
    <col min="16" max="16" width="24" customWidth="1"/>
  </cols>
  <sheetData>
    <row r="1" spans="1:16" ht="32.1" customHeight="1" x14ac:dyDescent="0.25">
      <c r="A1" s="15" t="s">
        <v>74</v>
      </c>
      <c r="B1" s="16"/>
      <c r="C1" s="16"/>
      <c r="D1" s="16"/>
      <c r="E1" s="16"/>
      <c r="F1" s="16"/>
      <c r="G1" s="16"/>
      <c r="H1" s="16"/>
      <c r="I1" s="16"/>
      <c r="J1" s="16"/>
    </row>
    <row r="2" spans="1:16" ht="27.95" customHeight="1" x14ac:dyDescent="0.25">
      <c r="A2" s="26" t="s">
        <v>75</v>
      </c>
      <c r="B2" s="16"/>
      <c r="C2" s="16"/>
      <c r="D2" s="16"/>
      <c r="E2" s="16"/>
      <c r="F2" s="16"/>
      <c r="G2" s="16"/>
      <c r="H2" s="16"/>
      <c r="I2" s="16"/>
      <c r="J2" s="16"/>
    </row>
    <row r="4" spans="1:16" ht="33.950000000000003" customHeight="1" x14ac:dyDescent="0.25">
      <c r="A4" s="6" t="s">
        <v>76</v>
      </c>
      <c r="B4" s="6" t="s">
        <v>77</v>
      </c>
      <c r="C4" s="6" t="s">
        <v>31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78</v>
      </c>
      <c r="K4" s="6" t="s">
        <v>79</v>
      </c>
      <c r="L4" s="6" t="s">
        <v>80</v>
      </c>
      <c r="M4" s="6" t="s">
        <v>81</v>
      </c>
      <c r="N4" s="6" t="s">
        <v>82</v>
      </c>
      <c r="O4" s="6" t="s">
        <v>83</v>
      </c>
      <c r="P4" s="6" t="s">
        <v>84</v>
      </c>
    </row>
    <row r="5" spans="1:16" x14ac:dyDescent="0.25">
      <c r="A5" s="7" t="s">
        <v>85</v>
      </c>
      <c r="B5" s="8">
        <v>46286</v>
      </c>
      <c r="C5" s="7" t="s">
        <v>38</v>
      </c>
      <c r="D5" s="7" t="s">
        <v>32</v>
      </c>
      <c r="E5" s="9" t="str">
        <f>IF($D5="","",IFERROR(INDEX('MASTER DATA'!$B$5:$B$12,MATCH($D5,'MASTER DATA'!$A$5:$A$12,0)),"NOT FOUND"))</f>
        <v>Pressure Gauge 0 to 10 bar</v>
      </c>
      <c r="F5" s="9" t="str">
        <f>IF($D5="","",IFERROR(INDEX('MASTER DATA'!$C$5:$C$12,MATCH($D5,'MASTER DATA'!$A$5:$A$12,0)),"NOT FOUND"))</f>
        <v>Workshop A</v>
      </c>
      <c r="G5" s="9" t="str">
        <f>IF($D5="","",IFERROR(INDEX('MASTER DATA'!$D$5:$D$12,MATCH($D5,'MASTER DATA'!$A$5:$A$12,0)),""))</f>
        <v>bar</v>
      </c>
      <c r="H5" s="10">
        <f>IF($D5="","",IFERROR(INDEX('MASTER DATA'!$E$5:$E$12,MATCH($D5,'MASTER DATA'!$A$5:$A$12,0)),""))</f>
        <v>5</v>
      </c>
      <c r="I5" s="10">
        <f>IF($D5="","",IFERROR(INDEX('MASTER DATA'!$F$5:$F$12,MATCH($D5,'MASTER DATA'!$A$5:$A$12,0)),""))</f>
        <v>0.1</v>
      </c>
      <c r="J5" s="11">
        <v>5.0199999999999996</v>
      </c>
      <c r="K5" s="11">
        <v>5.01</v>
      </c>
      <c r="L5" s="11">
        <v>5.03</v>
      </c>
      <c r="M5" s="10">
        <f t="shared" ref="M5:M36" si="0">IF(COUNT($J5:$L5)&lt;3,"",AVERAGE($J5:$L5))</f>
        <v>5.0199999999999996</v>
      </c>
      <c r="N5" s="10">
        <f t="shared" ref="N5:N36" si="1">IF($M5="","",$M5-$H5)</f>
        <v>1.9999999999999574E-2</v>
      </c>
      <c r="O5" s="9" t="str">
        <f t="shared" ref="O5:O36" si="2">IF(OR($A5="",$B5="",$C5="",$D5="",COUNT($J5:$L5)&lt;3),"INCOMPLETE",IF(ABS($N5)&lt;=$I5,"PASS","REVIEW"))</f>
        <v>PASS</v>
      </c>
      <c r="P5" s="7" t="s">
        <v>86</v>
      </c>
    </row>
    <row r="6" spans="1:16" x14ac:dyDescent="0.25">
      <c r="A6" s="7" t="s">
        <v>87</v>
      </c>
      <c r="B6" s="8">
        <v>46287</v>
      </c>
      <c r="C6" s="7" t="s">
        <v>43</v>
      </c>
      <c r="D6" s="7" t="s">
        <v>39</v>
      </c>
      <c r="E6" s="9" t="str">
        <f>IF($D6="","",IFERROR(INDEX('MASTER DATA'!$B$5:$B$12,MATCH($D6,'MASTER DATA'!$A$5:$A$12,0)),"NOT FOUND"))</f>
        <v>Temperature Sensor</v>
      </c>
      <c r="F6" s="9" t="str">
        <f>IF($D6="","",IFERROR(INDEX('MASTER DATA'!$C$5:$C$12,MATCH($D6,'MASTER DATA'!$A$5:$A$12,0)),"NOT FOUND"))</f>
        <v>Line 1</v>
      </c>
      <c r="G6" s="9" t="str">
        <f>IF($D6="","",IFERROR(INDEX('MASTER DATA'!$D$5:$D$12,MATCH($D6,'MASTER DATA'!$A$5:$A$12,0)),""))</f>
        <v>deg C</v>
      </c>
      <c r="H6" s="10">
        <f>IF($D6="","",IFERROR(INDEX('MASTER DATA'!$E$5:$E$12,MATCH($D6,'MASTER DATA'!$A$5:$A$12,0)),""))</f>
        <v>100</v>
      </c>
      <c r="I6" s="10">
        <f>IF($D6="","",IFERROR(INDEX('MASTER DATA'!$F$5:$F$12,MATCH($D6,'MASTER DATA'!$A$5:$A$12,0)),""))</f>
        <v>0.5</v>
      </c>
      <c r="J6" s="11">
        <v>100.2</v>
      </c>
      <c r="K6" s="11">
        <v>100.1</v>
      </c>
      <c r="L6" s="11">
        <v>100.3</v>
      </c>
      <c r="M6" s="10">
        <f t="shared" si="0"/>
        <v>100.2</v>
      </c>
      <c r="N6" s="10">
        <f t="shared" si="1"/>
        <v>0.20000000000000284</v>
      </c>
      <c r="O6" s="9" t="str">
        <f t="shared" si="2"/>
        <v>PASS</v>
      </c>
      <c r="P6" s="7" t="s">
        <v>86</v>
      </c>
    </row>
    <row r="7" spans="1:16" x14ac:dyDescent="0.25">
      <c r="A7" s="7" t="s">
        <v>88</v>
      </c>
      <c r="B7" s="8">
        <v>46288</v>
      </c>
      <c r="C7" s="7" t="s">
        <v>49</v>
      </c>
      <c r="D7" s="7" t="s">
        <v>44</v>
      </c>
      <c r="E7" s="9" t="str">
        <f>IF($D7="","",IFERROR(INDEX('MASTER DATA'!$B$5:$B$12,MATCH($D7,'MASTER DATA'!$A$5:$A$12,0)),"NOT FOUND"))</f>
        <v>Flow Meter</v>
      </c>
      <c r="F7" s="9" t="str">
        <f>IF($D7="","",IFERROR(INDEX('MASTER DATA'!$C$5:$C$12,MATCH($D7,'MASTER DATA'!$A$5:$A$12,0)),"NOT FOUND"))</f>
        <v>Utility Area</v>
      </c>
      <c r="G7" s="9" t="str">
        <f>IF($D7="","",IFERROR(INDEX('MASTER DATA'!$D$5:$D$12,MATCH($D7,'MASTER DATA'!$A$5:$A$12,0)),""))</f>
        <v>L/min</v>
      </c>
      <c r="H7" s="10">
        <f>IF($D7="","",IFERROR(INDEX('MASTER DATA'!$E$5:$E$12,MATCH($D7,'MASTER DATA'!$A$5:$A$12,0)),""))</f>
        <v>50</v>
      </c>
      <c r="I7" s="10">
        <f>IF($D7="","",IFERROR(INDEX('MASTER DATA'!$F$5:$F$12,MATCH($D7,'MASTER DATA'!$A$5:$A$12,0)),""))</f>
        <v>1</v>
      </c>
      <c r="J7" s="11">
        <v>51.2</v>
      </c>
      <c r="K7" s="11">
        <v>51.1</v>
      </c>
      <c r="L7" s="11">
        <v>51</v>
      </c>
      <c r="M7" s="10">
        <f t="shared" si="0"/>
        <v>51.1</v>
      </c>
      <c r="N7" s="10">
        <f t="shared" si="1"/>
        <v>1.1000000000000014</v>
      </c>
      <c r="O7" s="9" t="str">
        <f t="shared" si="2"/>
        <v>REVIEW</v>
      </c>
      <c r="P7" s="7" t="s">
        <v>89</v>
      </c>
    </row>
    <row r="8" spans="1:16" x14ac:dyDescent="0.25">
      <c r="A8" s="7" t="s">
        <v>90</v>
      </c>
      <c r="B8" s="8">
        <v>46289</v>
      </c>
      <c r="C8" s="7" t="s">
        <v>55</v>
      </c>
      <c r="D8" s="7" t="s">
        <v>50</v>
      </c>
      <c r="E8" s="9" t="str">
        <f>IF($D8="","",IFERROR(INDEX('MASTER DATA'!$B$5:$B$12,MATCH($D8,'MASTER DATA'!$A$5:$A$12,0)),"NOT FOUND"))</f>
        <v>Digital Caliper</v>
      </c>
      <c r="F8" s="9" t="str">
        <f>IF($D8="","",IFERROR(INDEX('MASTER DATA'!$C$5:$C$12,MATCH($D8,'MASTER DATA'!$A$5:$A$12,0)),"NOT FOUND"))</f>
        <v>QC Laboratory</v>
      </c>
      <c r="G8" s="9" t="str">
        <f>IF($D8="","",IFERROR(INDEX('MASTER DATA'!$D$5:$D$12,MATCH($D8,'MASTER DATA'!$A$5:$A$12,0)),""))</f>
        <v>mm</v>
      </c>
      <c r="H8" s="10">
        <f>IF($D8="","",IFERROR(INDEX('MASTER DATA'!$E$5:$E$12,MATCH($D8,'MASTER DATA'!$A$5:$A$12,0)),""))</f>
        <v>25</v>
      </c>
      <c r="I8" s="10">
        <f>IF($D8="","",IFERROR(INDEX('MASTER DATA'!$F$5:$F$12,MATCH($D8,'MASTER DATA'!$A$5:$A$12,0)),""))</f>
        <v>0.05</v>
      </c>
      <c r="J8" s="11">
        <v>25.01</v>
      </c>
      <c r="K8" s="11">
        <v>25.02</v>
      </c>
      <c r="L8" s="11">
        <v>25.01</v>
      </c>
      <c r="M8" s="10">
        <f t="shared" si="0"/>
        <v>25.013333333333335</v>
      </c>
      <c r="N8" s="10">
        <f t="shared" si="1"/>
        <v>1.3333333333335418E-2</v>
      </c>
      <c r="O8" s="9" t="str">
        <f t="shared" si="2"/>
        <v>PASS</v>
      </c>
      <c r="P8" s="7" t="s">
        <v>86</v>
      </c>
    </row>
    <row r="9" spans="1:16" x14ac:dyDescent="0.25">
      <c r="A9" s="7" t="s">
        <v>91</v>
      </c>
      <c r="B9" s="8">
        <v>46290</v>
      </c>
      <c r="C9" s="7" t="s">
        <v>38</v>
      </c>
      <c r="D9" s="7" t="s">
        <v>60</v>
      </c>
      <c r="E9" s="9" t="str">
        <f>IF($D9="","",IFERROR(INDEX('MASTER DATA'!$B$5:$B$12,MATCH($D9,'MASTER DATA'!$A$5:$A$12,0)),"NOT FOUND"))</f>
        <v>Weighing Scale</v>
      </c>
      <c r="F9" s="9" t="str">
        <f>IF($D9="","",IFERROR(INDEX('MASTER DATA'!$C$5:$C$12,MATCH($D9,'MASTER DATA'!$A$5:$A$12,0)),"NOT FOUND"))</f>
        <v>Warehouse</v>
      </c>
      <c r="G9" s="9" t="str">
        <f>IF($D9="","",IFERROR(INDEX('MASTER DATA'!$D$5:$D$12,MATCH($D9,'MASTER DATA'!$A$5:$A$12,0)),""))</f>
        <v>kg</v>
      </c>
      <c r="H9" s="10">
        <f>IF($D9="","",IFERROR(INDEX('MASTER DATA'!$E$5:$E$12,MATCH($D9,'MASTER DATA'!$A$5:$A$12,0)),""))</f>
        <v>10</v>
      </c>
      <c r="I9" s="10">
        <f>IF($D9="","",IFERROR(INDEX('MASTER DATA'!$F$5:$F$12,MATCH($D9,'MASTER DATA'!$A$5:$A$12,0)),""))</f>
        <v>0.02</v>
      </c>
      <c r="J9" s="11">
        <v>10.029999999999999</v>
      </c>
      <c r="K9" s="11">
        <v>10.039999999999999</v>
      </c>
      <c r="L9" s="11">
        <v>10.029999999999999</v>
      </c>
      <c r="M9" s="10">
        <f t="shared" si="0"/>
        <v>10.033333333333333</v>
      </c>
      <c r="N9" s="10">
        <f t="shared" si="1"/>
        <v>3.3333333333333215E-2</v>
      </c>
      <c r="O9" s="9" t="str">
        <f t="shared" si="2"/>
        <v>REVIEW</v>
      </c>
      <c r="P9" s="7" t="s">
        <v>92</v>
      </c>
    </row>
    <row r="10" spans="1:16" x14ac:dyDescent="0.25">
      <c r="A10" s="7"/>
      <c r="B10" s="8"/>
      <c r="C10" s="7"/>
      <c r="D10" s="7"/>
      <c r="E10" s="9" t="str">
        <f>IF($D10="","",IFERROR(INDEX('MASTER DATA'!$B$5:$B$12,MATCH($D10,'MASTER DATA'!$A$5:$A$12,0)),"NOT FOUND"))</f>
        <v/>
      </c>
      <c r="F10" s="9" t="str">
        <f>IF($D10="","",IFERROR(INDEX('MASTER DATA'!$C$5:$C$12,MATCH($D10,'MASTER DATA'!$A$5:$A$12,0)),"NOT FOUND"))</f>
        <v/>
      </c>
      <c r="G10" s="9" t="str">
        <f>IF($D10="","",IFERROR(INDEX('MASTER DATA'!$D$5:$D$12,MATCH($D10,'MASTER DATA'!$A$5:$A$12,0)),""))</f>
        <v/>
      </c>
      <c r="H10" s="10" t="str">
        <f>IF($D10="","",IFERROR(INDEX('MASTER DATA'!$E$5:$E$12,MATCH($D10,'MASTER DATA'!$A$5:$A$12,0)),""))</f>
        <v/>
      </c>
      <c r="I10" s="10" t="str">
        <f>IF($D10="","",IFERROR(INDEX('MASTER DATA'!$F$5:$F$12,MATCH($D10,'MASTER DATA'!$A$5:$A$12,0)),""))</f>
        <v/>
      </c>
      <c r="J10" s="11"/>
      <c r="K10" s="11"/>
      <c r="L10" s="11"/>
      <c r="M10" s="10" t="str">
        <f t="shared" si="0"/>
        <v/>
      </c>
      <c r="N10" s="10" t="str">
        <f t="shared" si="1"/>
        <v/>
      </c>
      <c r="O10" s="9" t="str">
        <f t="shared" si="2"/>
        <v>INCOMPLETE</v>
      </c>
      <c r="P10" s="7"/>
    </row>
    <row r="11" spans="1:16" x14ac:dyDescent="0.25">
      <c r="A11" s="7"/>
      <c r="B11" s="8"/>
      <c r="C11" s="7"/>
      <c r="D11" s="7"/>
      <c r="E11" s="9" t="str">
        <f>IF($D11="","",IFERROR(INDEX('MASTER DATA'!$B$5:$B$12,MATCH($D11,'MASTER DATA'!$A$5:$A$12,0)),"NOT FOUND"))</f>
        <v/>
      </c>
      <c r="F11" s="9" t="str">
        <f>IF($D11="","",IFERROR(INDEX('MASTER DATA'!$C$5:$C$12,MATCH($D11,'MASTER DATA'!$A$5:$A$12,0)),"NOT FOUND"))</f>
        <v/>
      </c>
      <c r="G11" s="9" t="str">
        <f>IF($D11="","",IFERROR(INDEX('MASTER DATA'!$D$5:$D$12,MATCH($D11,'MASTER DATA'!$A$5:$A$12,0)),""))</f>
        <v/>
      </c>
      <c r="H11" s="10" t="str">
        <f>IF($D11="","",IFERROR(INDEX('MASTER DATA'!$E$5:$E$12,MATCH($D11,'MASTER DATA'!$A$5:$A$12,0)),""))</f>
        <v/>
      </c>
      <c r="I11" s="10" t="str">
        <f>IF($D11="","",IFERROR(INDEX('MASTER DATA'!$F$5:$F$12,MATCH($D11,'MASTER DATA'!$A$5:$A$12,0)),""))</f>
        <v/>
      </c>
      <c r="J11" s="11"/>
      <c r="K11" s="11"/>
      <c r="L11" s="11"/>
      <c r="M11" s="10" t="str">
        <f t="shared" si="0"/>
        <v/>
      </c>
      <c r="N11" s="10" t="str">
        <f t="shared" si="1"/>
        <v/>
      </c>
      <c r="O11" s="9" t="str">
        <f t="shared" si="2"/>
        <v>INCOMPLETE</v>
      </c>
      <c r="P11" s="7"/>
    </row>
    <row r="12" spans="1:16" x14ac:dyDescent="0.25">
      <c r="A12" s="7"/>
      <c r="B12" s="8"/>
      <c r="C12" s="7"/>
      <c r="D12" s="7"/>
      <c r="E12" s="9" t="str">
        <f>IF($D12="","",IFERROR(INDEX('MASTER DATA'!$B$5:$B$12,MATCH($D12,'MASTER DATA'!$A$5:$A$12,0)),"NOT FOUND"))</f>
        <v/>
      </c>
      <c r="F12" s="9" t="str">
        <f>IF($D12="","",IFERROR(INDEX('MASTER DATA'!$C$5:$C$12,MATCH($D12,'MASTER DATA'!$A$5:$A$12,0)),"NOT FOUND"))</f>
        <v/>
      </c>
      <c r="G12" s="9" t="str">
        <f>IF($D12="","",IFERROR(INDEX('MASTER DATA'!$D$5:$D$12,MATCH($D12,'MASTER DATA'!$A$5:$A$12,0)),""))</f>
        <v/>
      </c>
      <c r="H12" s="10" t="str">
        <f>IF($D12="","",IFERROR(INDEX('MASTER DATA'!$E$5:$E$12,MATCH($D12,'MASTER DATA'!$A$5:$A$12,0)),""))</f>
        <v/>
      </c>
      <c r="I12" s="10" t="str">
        <f>IF($D12="","",IFERROR(INDEX('MASTER DATA'!$F$5:$F$12,MATCH($D12,'MASTER DATA'!$A$5:$A$12,0)),""))</f>
        <v/>
      </c>
      <c r="J12" s="11"/>
      <c r="K12" s="11"/>
      <c r="L12" s="11"/>
      <c r="M12" s="10" t="str">
        <f t="shared" si="0"/>
        <v/>
      </c>
      <c r="N12" s="10" t="str">
        <f t="shared" si="1"/>
        <v/>
      </c>
      <c r="O12" s="9" t="str">
        <f t="shared" si="2"/>
        <v>INCOMPLETE</v>
      </c>
      <c r="P12" s="7"/>
    </row>
    <row r="13" spans="1:16" x14ac:dyDescent="0.25">
      <c r="A13" s="7"/>
      <c r="B13" s="8"/>
      <c r="C13" s="7"/>
      <c r="D13" s="7"/>
      <c r="E13" s="9" t="str">
        <f>IF($D13="","",IFERROR(INDEX('MASTER DATA'!$B$5:$B$12,MATCH($D13,'MASTER DATA'!$A$5:$A$12,0)),"NOT FOUND"))</f>
        <v/>
      </c>
      <c r="F13" s="9" t="str">
        <f>IF($D13="","",IFERROR(INDEX('MASTER DATA'!$C$5:$C$12,MATCH($D13,'MASTER DATA'!$A$5:$A$12,0)),"NOT FOUND"))</f>
        <v/>
      </c>
      <c r="G13" s="9" t="str">
        <f>IF($D13="","",IFERROR(INDEX('MASTER DATA'!$D$5:$D$12,MATCH($D13,'MASTER DATA'!$A$5:$A$12,0)),""))</f>
        <v/>
      </c>
      <c r="H13" s="10" t="str">
        <f>IF($D13="","",IFERROR(INDEX('MASTER DATA'!$E$5:$E$12,MATCH($D13,'MASTER DATA'!$A$5:$A$12,0)),""))</f>
        <v/>
      </c>
      <c r="I13" s="10" t="str">
        <f>IF($D13="","",IFERROR(INDEX('MASTER DATA'!$F$5:$F$12,MATCH($D13,'MASTER DATA'!$A$5:$A$12,0)),""))</f>
        <v/>
      </c>
      <c r="J13" s="11"/>
      <c r="K13" s="11"/>
      <c r="L13" s="11"/>
      <c r="M13" s="10" t="str">
        <f t="shared" si="0"/>
        <v/>
      </c>
      <c r="N13" s="10" t="str">
        <f t="shared" si="1"/>
        <v/>
      </c>
      <c r="O13" s="9" t="str">
        <f t="shared" si="2"/>
        <v>INCOMPLETE</v>
      </c>
      <c r="P13" s="7"/>
    </row>
    <row r="14" spans="1:16" x14ac:dyDescent="0.25">
      <c r="A14" s="7"/>
      <c r="B14" s="8"/>
      <c r="C14" s="7"/>
      <c r="D14" s="7"/>
      <c r="E14" s="9" t="str">
        <f>IF($D14="","",IFERROR(INDEX('MASTER DATA'!$B$5:$B$12,MATCH($D14,'MASTER DATA'!$A$5:$A$12,0)),"NOT FOUND"))</f>
        <v/>
      </c>
      <c r="F14" s="9" t="str">
        <f>IF($D14="","",IFERROR(INDEX('MASTER DATA'!$C$5:$C$12,MATCH($D14,'MASTER DATA'!$A$5:$A$12,0)),"NOT FOUND"))</f>
        <v/>
      </c>
      <c r="G14" s="9" t="str">
        <f>IF($D14="","",IFERROR(INDEX('MASTER DATA'!$D$5:$D$12,MATCH($D14,'MASTER DATA'!$A$5:$A$12,0)),""))</f>
        <v/>
      </c>
      <c r="H14" s="10" t="str">
        <f>IF($D14="","",IFERROR(INDEX('MASTER DATA'!$E$5:$E$12,MATCH($D14,'MASTER DATA'!$A$5:$A$12,0)),""))</f>
        <v/>
      </c>
      <c r="I14" s="10" t="str">
        <f>IF($D14="","",IFERROR(INDEX('MASTER DATA'!$F$5:$F$12,MATCH($D14,'MASTER DATA'!$A$5:$A$12,0)),""))</f>
        <v/>
      </c>
      <c r="J14" s="11"/>
      <c r="K14" s="11"/>
      <c r="L14" s="11"/>
      <c r="M14" s="10" t="str">
        <f t="shared" si="0"/>
        <v/>
      </c>
      <c r="N14" s="10" t="str">
        <f t="shared" si="1"/>
        <v/>
      </c>
      <c r="O14" s="9" t="str">
        <f t="shared" si="2"/>
        <v>INCOMPLETE</v>
      </c>
      <c r="P14" s="7"/>
    </row>
    <row r="15" spans="1:16" x14ac:dyDescent="0.25">
      <c r="A15" s="7"/>
      <c r="B15" s="8"/>
      <c r="C15" s="7"/>
      <c r="D15" s="7"/>
      <c r="E15" s="9" t="str">
        <f>IF($D15="","",IFERROR(INDEX('MASTER DATA'!$B$5:$B$12,MATCH($D15,'MASTER DATA'!$A$5:$A$12,0)),"NOT FOUND"))</f>
        <v/>
      </c>
      <c r="F15" s="9" t="str">
        <f>IF($D15="","",IFERROR(INDEX('MASTER DATA'!$C$5:$C$12,MATCH($D15,'MASTER DATA'!$A$5:$A$12,0)),"NOT FOUND"))</f>
        <v/>
      </c>
      <c r="G15" s="9" t="str">
        <f>IF($D15="","",IFERROR(INDEX('MASTER DATA'!$D$5:$D$12,MATCH($D15,'MASTER DATA'!$A$5:$A$12,0)),""))</f>
        <v/>
      </c>
      <c r="H15" s="10" t="str">
        <f>IF($D15="","",IFERROR(INDEX('MASTER DATA'!$E$5:$E$12,MATCH($D15,'MASTER DATA'!$A$5:$A$12,0)),""))</f>
        <v/>
      </c>
      <c r="I15" s="10" t="str">
        <f>IF($D15="","",IFERROR(INDEX('MASTER DATA'!$F$5:$F$12,MATCH($D15,'MASTER DATA'!$A$5:$A$12,0)),""))</f>
        <v/>
      </c>
      <c r="J15" s="11"/>
      <c r="K15" s="11"/>
      <c r="L15" s="11"/>
      <c r="M15" s="10" t="str">
        <f t="shared" si="0"/>
        <v/>
      </c>
      <c r="N15" s="10" t="str">
        <f t="shared" si="1"/>
        <v/>
      </c>
      <c r="O15" s="9" t="str">
        <f t="shared" si="2"/>
        <v>INCOMPLETE</v>
      </c>
      <c r="P15" s="7"/>
    </row>
    <row r="16" spans="1:16" x14ac:dyDescent="0.25">
      <c r="A16" s="7"/>
      <c r="B16" s="8"/>
      <c r="C16" s="7"/>
      <c r="D16" s="7"/>
      <c r="E16" s="9" t="str">
        <f>IF($D16="","",IFERROR(INDEX('MASTER DATA'!$B$5:$B$12,MATCH($D16,'MASTER DATA'!$A$5:$A$12,0)),"NOT FOUND"))</f>
        <v/>
      </c>
      <c r="F16" s="9" t="str">
        <f>IF($D16="","",IFERROR(INDEX('MASTER DATA'!$C$5:$C$12,MATCH($D16,'MASTER DATA'!$A$5:$A$12,0)),"NOT FOUND"))</f>
        <v/>
      </c>
      <c r="G16" s="9" t="str">
        <f>IF($D16="","",IFERROR(INDEX('MASTER DATA'!$D$5:$D$12,MATCH($D16,'MASTER DATA'!$A$5:$A$12,0)),""))</f>
        <v/>
      </c>
      <c r="H16" s="10" t="str">
        <f>IF($D16="","",IFERROR(INDEX('MASTER DATA'!$E$5:$E$12,MATCH($D16,'MASTER DATA'!$A$5:$A$12,0)),""))</f>
        <v/>
      </c>
      <c r="I16" s="10" t="str">
        <f>IF($D16="","",IFERROR(INDEX('MASTER DATA'!$F$5:$F$12,MATCH($D16,'MASTER DATA'!$A$5:$A$12,0)),""))</f>
        <v/>
      </c>
      <c r="J16" s="11"/>
      <c r="K16" s="11"/>
      <c r="L16" s="11"/>
      <c r="M16" s="10" t="str">
        <f t="shared" si="0"/>
        <v/>
      </c>
      <c r="N16" s="10" t="str">
        <f t="shared" si="1"/>
        <v/>
      </c>
      <c r="O16" s="9" t="str">
        <f t="shared" si="2"/>
        <v>INCOMPLETE</v>
      </c>
      <c r="P16" s="7"/>
    </row>
    <row r="17" spans="1:16" x14ac:dyDescent="0.25">
      <c r="A17" s="7"/>
      <c r="B17" s="8"/>
      <c r="C17" s="7"/>
      <c r="D17" s="7"/>
      <c r="E17" s="9" t="str">
        <f>IF($D17="","",IFERROR(INDEX('MASTER DATA'!$B$5:$B$12,MATCH($D17,'MASTER DATA'!$A$5:$A$12,0)),"NOT FOUND"))</f>
        <v/>
      </c>
      <c r="F17" s="9" t="str">
        <f>IF($D17="","",IFERROR(INDEX('MASTER DATA'!$C$5:$C$12,MATCH($D17,'MASTER DATA'!$A$5:$A$12,0)),"NOT FOUND"))</f>
        <v/>
      </c>
      <c r="G17" s="9" t="str">
        <f>IF($D17="","",IFERROR(INDEX('MASTER DATA'!$D$5:$D$12,MATCH($D17,'MASTER DATA'!$A$5:$A$12,0)),""))</f>
        <v/>
      </c>
      <c r="H17" s="10" t="str">
        <f>IF($D17="","",IFERROR(INDEX('MASTER DATA'!$E$5:$E$12,MATCH($D17,'MASTER DATA'!$A$5:$A$12,0)),""))</f>
        <v/>
      </c>
      <c r="I17" s="10" t="str">
        <f>IF($D17="","",IFERROR(INDEX('MASTER DATA'!$F$5:$F$12,MATCH($D17,'MASTER DATA'!$A$5:$A$12,0)),""))</f>
        <v/>
      </c>
      <c r="J17" s="11"/>
      <c r="K17" s="11"/>
      <c r="L17" s="11"/>
      <c r="M17" s="10" t="str">
        <f t="shared" si="0"/>
        <v/>
      </c>
      <c r="N17" s="10" t="str">
        <f t="shared" si="1"/>
        <v/>
      </c>
      <c r="O17" s="9" t="str">
        <f t="shared" si="2"/>
        <v>INCOMPLETE</v>
      </c>
      <c r="P17" s="7"/>
    </row>
    <row r="18" spans="1:16" x14ac:dyDescent="0.25">
      <c r="A18" s="7"/>
      <c r="B18" s="8"/>
      <c r="C18" s="7"/>
      <c r="D18" s="7"/>
      <c r="E18" s="9" t="str">
        <f>IF($D18="","",IFERROR(INDEX('MASTER DATA'!$B$5:$B$12,MATCH($D18,'MASTER DATA'!$A$5:$A$12,0)),"NOT FOUND"))</f>
        <v/>
      </c>
      <c r="F18" s="9" t="str">
        <f>IF($D18="","",IFERROR(INDEX('MASTER DATA'!$C$5:$C$12,MATCH($D18,'MASTER DATA'!$A$5:$A$12,0)),"NOT FOUND"))</f>
        <v/>
      </c>
      <c r="G18" s="9" t="str">
        <f>IF($D18="","",IFERROR(INDEX('MASTER DATA'!$D$5:$D$12,MATCH($D18,'MASTER DATA'!$A$5:$A$12,0)),""))</f>
        <v/>
      </c>
      <c r="H18" s="10" t="str">
        <f>IF($D18="","",IFERROR(INDEX('MASTER DATA'!$E$5:$E$12,MATCH($D18,'MASTER DATA'!$A$5:$A$12,0)),""))</f>
        <v/>
      </c>
      <c r="I18" s="10" t="str">
        <f>IF($D18="","",IFERROR(INDEX('MASTER DATA'!$F$5:$F$12,MATCH($D18,'MASTER DATA'!$A$5:$A$12,0)),""))</f>
        <v/>
      </c>
      <c r="J18" s="11"/>
      <c r="K18" s="11"/>
      <c r="L18" s="11"/>
      <c r="M18" s="10" t="str">
        <f t="shared" si="0"/>
        <v/>
      </c>
      <c r="N18" s="10" t="str">
        <f t="shared" si="1"/>
        <v/>
      </c>
      <c r="O18" s="9" t="str">
        <f t="shared" si="2"/>
        <v>INCOMPLETE</v>
      </c>
      <c r="P18" s="7"/>
    </row>
    <row r="19" spans="1:16" x14ac:dyDescent="0.25">
      <c r="A19" s="7"/>
      <c r="B19" s="8"/>
      <c r="C19" s="7"/>
      <c r="D19" s="7"/>
      <c r="E19" s="9" t="str">
        <f>IF($D19="","",IFERROR(INDEX('MASTER DATA'!$B$5:$B$12,MATCH($D19,'MASTER DATA'!$A$5:$A$12,0)),"NOT FOUND"))</f>
        <v/>
      </c>
      <c r="F19" s="9" t="str">
        <f>IF($D19="","",IFERROR(INDEX('MASTER DATA'!$C$5:$C$12,MATCH($D19,'MASTER DATA'!$A$5:$A$12,0)),"NOT FOUND"))</f>
        <v/>
      </c>
      <c r="G19" s="9" t="str">
        <f>IF($D19="","",IFERROR(INDEX('MASTER DATA'!$D$5:$D$12,MATCH($D19,'MASTER DATA'!$A$5:$A$12,0)),""))</f>
        <v/>
      </c>
      <c r="H19" s="10" t="str">
        <f>IF($D19="","",IFERROR(INDEX('MASTER DATA'!$E$5:$E$12,MATCH($D19,'MASTER DATA'!$A$5:$A$12,0)),""))</f>
        <v/>
      </c>
      <c r="I19" s="10" t="str">
        <f>IF($D19="","",IFERROR(INDEX('MASTER DATA'!$F$5:$F$12,MATCH($D19,'MASTER DATA'!$A$5:$A$12,0)),""))</f>
        <v/>
      </c>
      <c r="J19" s="11"/>
      <c r="K19" s="11"/>
      <c r="L19" s="11"/>
      <c r="M19" s="10" t="str">
        <f t="shared" si="0"/>
        <v/>
      </c>
      <c r="N19" s="10" t="str">
        <f t="shared" si="1"/>
        <v/>
      </c>
      <c r="O19" s="9" t="str">
        <f t="shared" si="2"/>
        <v>INCOMPLETE</v>
      </c>
      <c r="P19" s="7"/>
    </row>
    <row r="20" spans="1:16" x14ac:dyDescent="0.25">
      <c r="A20" s="7"/>
      <c r="B20" s="8"/>
      <c r="C20" s="7"/>
      <c r="D20" s="7"/>
      <c r="E20" s="9" t="str">
        <f>IF($D20="","",IFERROR(INDEX('MASTER DATA'!$B$5:$B$12,MATCH($D20,'MASTER DATA'!$A$5:$A$12,0)),"NOT FOUND"))</f>
        <v/>
      </c>
      <c r="F20" s="9" t="str">
        <f>IF($D20="","",IFERROR(INDEX('MASTER DATA'!$C$5:$C$12,MATCH($D20,'MASTER DATA'!$A$5:$A$12,0)),"NOT FOUND"))</f>
        <v/>
      </c>
      <c r="G20" s="9" t="str">
        <f>IF($D20="","",IFERROR(INDEX('MASTER DATA'!$D$5:$D$12,MATCH($D20,'MASTER DATA'!$A$5:$A$12,0)),""))</f>
        <v/>
      </c>
      <c r="H20" s="10" t="str">
        <f>IF($D20="","",IFERROR(INDEX('MASTER DATA'!$E$5:$E$12,MATCH($D20,'MASTER DATA'!$A$5:$A$12,0)),""))</f>
        <v/>
      </c>
      <c r="I20" s="10" t="str">
        <f>IF($D20="","",IFERROR(INDEX('MASTER DATA'!$F$5:$F$12,MATCH($D20,'MASTER DATA'!$A$5:$A$12,0)),""))</f>
        <v/>
      </c>
      <c r="J20" s="11"/>
      <c r="K20" s="11"/>
      <c r="L20" s="11"/>
      <c r="M20" s="10" t="str">
        <f t="shared" si="0"/>
        <v/>
      </c>
      <c r="N20" s="10" t="str">
        <f t="shared" si="1"/>
        <v/>
      </c>
      <c r="O20" s="9" t="str">
        <f t="shared" si="2"/>
        <v>INCOMPLETE</v>
      </c>
      <c r="P20" s="7"/>
    </row>
    <row r="21" spans="1:16" x14ac:dyDescent="0.25">
      <c r="A21" s="7"/>
      <c r="B21" s="8"/>
      <c r="C21" s="7"/>
      <c r="D21" s="7"/>
      <c r="E21" s="9" t="str">
        <f>IF($D21="","",IFERROR(INDEX('MASTER DATA'!$B$5:$B$12,MATCH($D21,'MASTER DATA'!$A$5:$A$12,0)),"NOT FOUND"))</f>
        <v/>
      </c>
      <c r="F21" s="9" t="str">
        <f>IF($D21="","",IFERROR(INDEX('MASTER DATA'!$C$5:$C$12,MATCH($D21,'MASTER DATA'!$A$5:$A$12,0)),"NOT FOUND"))</f>
        <v/>
      </c>
      <c r="G21" s="9" t="str">
        <f>IF($D21="","",IFERROR(INDEX('MASTER DATA'!$D$5:$D$12,MATCH($D21,'MASTER DATA'!$A$5:$A$12,0)),""))</f>
        <v/>
      </c>
      <c r="H21" s="10" t="str">
        <f>IF($D21="","",IFERROR(INDEX('MASTER DATA'!$E$5:$E$12,MATCH($D21,'MASTER DATA'!$A$5:$A$12,0)),""))</f>
        <v/>
      </c>
      <c r="I21" s="10" t="str">
        <f>IF($D21="","",IFERROR(INDEX('MASTER DATA'!$F$5:$F$12,MATCH($D21,'MASTER DATA'!$A$5:$A$12,0)),""))</f>
        <v/>
      </c>
      <c r="J21" s="11"/>
      <c r="K21" s="11"/>
      <c r="L21" s="11"/>
      <c r="M21" s="10" t="str">
        <f t="shared" si="0"/>
        <v/>
      </c>
      <c r="N21" s="10" t="str">
        <f t="shared" si="1"/>
        <v/>
      </c>
      <c r="O21" s="9" t="str">
        <f t="shared" si="2"/>
        <v>INCOMPLETE</v>
      </c>
      <c r="P21" s="7"/>
    </row>
    <row r="22" spans="1:16" x14ac:dyDescent="0.25">
      <c r="A22" s="7"/>
      <c r="B22" s="8"/>
      <c r="C22" s="7"/>
      <c r="D22" s="7"/>
      <c r="E22" s="9" t="str">
        <f>IF($D22="","",IFERROR(INDEX('MASTER DATA'!$B$5:$B$12,MATCH($D22,'MASTER DATA'!$A$5:$A$12,0)),"NOT FOUND"))</f>
        <v/>
      </c>
      <c r="F22" s="9" t="str">
        <f>IF($D22="","",IFERROR(INDEX('MASTER DATA'!$C$5:$C$12,MATCH($D22,'MASTER DATA'!$A$5:$A$12,0)),"NOT FOUND"))</f>
        <v/>
      </c>
      <c r="G22" s="9" t="str">
        <f>IF($D22="","",IFERROR(INDEX('MASTER DATA'!$D$5:$D$12,MATCH($D22,'MASTER DATA'!$A$5:$A$12,0)),""))</f>
        <v/>
      </c>
      <c r="H22" s="10" t="str">
        <f>IF($D22="","",IFERROR(INDEX('MASTER DATA'!$E$5:$E$12,MATCH($D22,'MASTER DATA'!$A$5:$A$12,0)),""))</f>
        <v/>
      </c>
      <c r="I22" s="10" t="str">
        <f>IF($D22="","",IFERROR(INDEX('MASTER DATA'!$F$5:$F$12,MATCH($D22,'MASTER DATA'!$A$5:$A$12,0)),""))</f>
        <v/>
      </c>
      <c r="J22" s="11"/>
      <c r="K22" s="11"/>
      <c r="L22" s="11"/>
      <c r="M22" s="10" t="str">
        <f t="shared" si="0"/>
        <v/>
      </c>
      <c r="N22" s="10" t="str">
        <f t="shared" si="1"/>
        <v/>
      </c>
      <c r="O22" s="9" t="str">
        <f t="shared" si="2"/>
        <v>INCOMPLETE</v>
      </c>
      <c r="P22" s="7"/>
    </row>
    <row r="23" spans="1:16" x14ac:dyDescent="0.25">
      <c r="A23" s="7"/>
      <c r="B23" s="8"/>
      <c r="C23" s="7"/>
      <c r="D23" s="7"/>
      <c r="E23" s="9" t="str">
        <f>IF($D23="","",IFERROR(INDEX('MASTER DATA'!$B$5:$B$12,MATCH($D23,'MASTER DATA'!$A$5:$A$12,0)),"NOT FOUND"))</f>
        <v/>
      </c>
      <c r="F23" s="9" t="str">
        <f>IF($D23="","",IFERROR(INDEX('MASTER DATA'!$C$5:$C$12,MATCH($D23,'MASTER DATA'!$A$5:$A$12,0)),"NOT FOUND"))</f>
        <v/>
      </c>
      <c r="G23" s="9" t="str">
        <f>IF($D23="","",IFERROR(INDEX('MASTER DATA'!$D$5:$D$12,MATCH($D23,'MASTER DATA'!$A$5:$A$12,0)),""))</f>
        <v/>
      </c>
      <c r="H23" s="10" t="str">
        <f>IF($D23="","",IFERROR(INDEX('MASTER DATA'!$E$5:$E$12,MATCH($D23,'MASTER DATA'!$A$5:$A$12,0)),""))</f>
        <v/>
      </c>
      <c r="I23" s="10" t="str">
        <f>IF($D23="","",IFERROR(INDEX('MASTER DATA'!$F$5:$F$12,MATCH($D23,'MASTER DATA'!$A$5:$A$12,0)),""))</f>
        <v/>
      </c>
      <c r="J23" s="11"/>
      <c r="K23" s="11"/>
      <c r="L23" s="11"/>
      <c r="M23" s="10" t="str">
        <f t="shared" si="0"/>
        <v/>
      </c>
      <c r="N23" s="10" t="str">
        <f t="shared" si="1"/>
        <v/>
      </c>
      <c r="O23" s="9" t="str">
        <f t="shared" si="2"/>
        <v>INCOMPLETE</v>
      </c>
      <c r="P23" s="7"/>
    </row>
    <row r="24" spans="1:16" x14ac:dyDescent="0.25">
      <c r="A24" s="7"/>
      <c r="B24" s="8"/>
      <c r="C24" s="7"/>
      <c r="D24" s="7"/>
      <c r="E24" s="9" t="str">
        <f>IF($D24="","",IFERROR(INDEX('MASTER DATA'!$B$5:$B$12,MATCH($D24,'MASTER DATA'!$A$5:$A$12,0)),"NOT FOUND"))</f>
        <v/>
      </c>
      <c r="F24" s="9" t="str">
        <f>IF($D24="","",IFERROR(INDEX('MASTER DATA'!$C$5:$C$12,MATCH($D24,'MASTER DATA'!$A$5:$A$12,0)),"NOT FOUND"))</f>
        <v/>
      </c>
      <c r="G24" s="9" t="str">
        <f>IF($D24="","",IFERROR(INDEX('MASTER DATA'!$D$5:$D$12,MATCH($D24,'MASTER DATA'!$A$5:$A$12,0)),""))</f>
        <v/>
      </c>
      <c r="H24" s="10" t="str">
        <f>IF($D24="","",IFERROR(INDEX('MASTER DATA'!$E$5:$E$12,MATCH($D24,'MASTER DATA'!$A$5:$A$12,0)),""))</f>
        <v/>
      </c>
      <c r="I24" s="10" t="str">
        <f>IF($D24="","",IFERROR(INDEX('MASTER DATA'!$F$5:$F$12,MATCH($D24,'MASTER DATA'!$A$5:$A$12,0)),""))</f>
        <v/>
      </c>
      <c r="J24" s="11"/>
      <c r="K24" s="11"/>
      <c r="L24" s="11"/>
      <c r="M24" s="10" t="str">
        <f t="shared" si="0"/>
        <v/>
      </c>
      <c r="N24" s="10" t="str">
        <f t="shared" si="1"/>
        <v/>
      </c>
      <c r="O24" s="9" t="str">
        <f t="shared" si="2"/>
        <v>INCOMPLETE</v>
      </c>
      <c r="P24" s="7"/>
    </row>
    <row r="25" spans="1:16" x14ac:dyDescent="0.25">
      <c r="A25" s="7"/>
      <c r="B25" s="8"/>
      <c r="C25" s="7"/>
      <c r="D25" s="7"/>
      <c r="E25" s="9" t="str">
        <f>IF($D25="","",IFERROR(INDEX('MASTER DATA'!$B$5:$B$12,MATCH($D25,'MASTER DATA'!$A$5:$A$12,0)),"NOT FOUND"))</f>
        <v/>
      </c>
      <c r="F25" s="9" t="str">
        <f>IF($D25="","",IFERROR(INDEX('MASTER DATA'!$C$5:$C$12,MATCH($D25,'MASTER DATA'!$A$5:$A$12,0)),"NOT FOUND"))</f>
        <v/>
      </c>
      <c r="G25" s="9" t="str">
        <f>IF($D25="","",IFERROR(INDEX('MASTER DATA'!$D$5:$D$12,MATCH($D25,'MASTER DATA'!$A$5:$A$12,0)),""))</f>
        <v/>
      </c>
      <c r="H25" s="10" t="str">
        <f>IF($D25="","",IFERROR(INDEX('MASTER DATA'!$E$5:$E$12,MATCH($D25,'MASTER DATA'!$A$5:$A$12,0)),""))</f>
        <v/>
      </c>
      <c r="I25" s="10" t="str">
        <f>IF($D25="","",IFERROR(INDEX('MASTER DATA'!$F$5:$F$12,MATCH($D25,'MASTER DATA'!$A$5:$A$12,0)),""))</f>
        <v/>
      </c>
      <c r="J25" s="11"/>
      <c r="K25" s="11"/>
      <c r="L25" s="11"/>
      <c r="M25" s="10" t="str">
        <f t="shared" si="0"/>
        <v/>
      </c>
      <c r="N25" s="10" t="str">
        <f t="shared" si="1"/>
        <v/>
      </c>
      <c r="O25" s="9" t="str">
        <f t="shared" si="2"/>
        <v>INCOMPLETE</v>
      </c>
      <c r="P25" s="7"/>
    </row>
    <row r="26" spans="1:16" x14ac:dyDescent="0.25">
      <c r="A26" s="7"/>
      <c r="B26" s="8"/>
      <c r="C26" s="7"/>
      <c r="D26" s="7"/>
      <c r="E26" s="9" t="str">
        <f>IF($D26="","",IFERROR(INDEX('MASTER DATA'!$B$5:$B$12,MATCH($D26,'MASTER DATA'!$A$5:$A$12,0)),"NOT FOUND"))</f>
        <v/>
      </c>
      <c r="F26" s="9" t="str">
        <f>IF($D26="","",IFERROR(INDEX('MASTER DATA'!$C$5:$C$12,MATCH($D26,'MASTER DATA'!$A$5:$A$12,0)),"NOT FOUND"))</f>
        <v/>
      </c>
      <c r="G26" s="9" t="str">
        <f>IF($D26="","",IFERROR(INDEX('MASTER DATA'!$D$5:$D$12,MATCH($D26,'MASTER DATA'!$A$5:$A$12,0)),""))</f>
        <v/>
      </c>
      <c r="H26" s="10" t="str">
        <f>IF($D26="","",IFERROR(INDEX('MASTER DATA'!$E$5:$E$12,MATCH($D26,'MASTER DATA'!$A$5:$A$12,0)),""))</f>
        <v/>
      </c>
      <c r="I26" s="10" t="str">
        <f>IF($D26="","",IFERROR(INDEX('MASTER DATA'!$F$5:$F$12,MATCH($D26,'MASTER DATA'!$A$5:$A$12,0)),""))</f>
        <v/>
      </c>
      <c r="J26" s="11"/>
      <c r="K26" s="11"/>
      <c r="L26" s="11"/>
      <c r="M26" s="10" t="str">
        <f t="shared" si="0"/>
        <v/>
      </c>
      <c r="N26" s="10" t="str">
        <f t="shared" si="1"/>
        <v/>
      </c>
      <c r="O26" s="9" t="str">
        <f t="shared" si="2"/>
        <v>INCOMPLETE</v>
      </c>
      <c r="P26" s="7"/>
    </row>
    <row r="27" spans="1:16" x14ac:dyDescent="0.25">
      <c r="A27" s="7"/>
      <c r="B27" s="8"/>
      <c r="C27" s="7"/>
      <c r="D27" s="7"/>
      <c r="E27" s="9" t="str">
        <f>IF($D27="","",IFERROR(INDEX('MASTER DATA'!$B$5:$B$12,MATCH($D27,'MASTER DATA'!$A$5:$A$12,0)),"NOT FOUND"))</f>
        <v/>
      </c>
      <c r="F27" s="9" t="str">
        <f>IF($D27="","",IFERROR(INDEX('MASTER DATA'!$C$5:$C$12,MATCH($D27,'MASTER DATA'!$A$5:$A$12,0)),"NOT FOUND"))</f>
        <v/>
      </c>
      <c r="G27" s="9" t="str">
        <f>IF($D27="","",IFERROR(INDEX('MASTER DATA'!$D$5:$D$12,MATCH($D27,'MASTER DATA'!$A$5:$A$12,0)),""))</f>
        <v/>
      </c>
      <c r="H27" s="10" t="str">
        <f>IF($D27="","",IFERROR(INDEX('MASTER DATA'!$E$5:$E$12,MATCH($D27,'MASTER DATA'!$A$5:$A$12,0)),""))</f>
        <v/>
      </c>
      <c r="I27" s="10" t="str">
        <f>IF($D27="","",IFERROR(INDEX('MASTER DATA'!$F$5:$F$12,MATCH($D27,'MASTER DATA'!$A$5:$A$12,0)),""))</f>
        <v/>
      </c>
      <c r="J27" s="11"/>
      <c r="K27" s="11"/>
      <c r="L27" s="11"/>
      <c r="M27" s="10" t="str">
        <f t="shared" si="0"/>
        <v/>
      </c>
      <c r="N27" s="10" t="str">
        <f t="shared" si="1"/>
        <v/>
      </c>
      <c r="O27" s="9" t="str">
        <f t="shared" si="2"/>
        <v>INCOMPLETE</v>
      </c>
      <c r="P27" s="7"/>
    </row>
    <row r="28" spans="1:16" x14ac:dyDescent="0.25">
      <c r="A28" s="7"/>
      <c r="B28" s="8"/>
      <c r="C28" s="7"/>
      <c r="D28" s="7"/>
      <c r="E28" s="9" t="str">
        <f>IF($D28="","",IFERROR(INDEX('MASTER DATA'!$B$5:$B$12,MATCH($D28,'MASTER DATA'!$A$5:$A$12,0)),"NOT FOUND"))</f>
        <v/>
      </c>
      <c r="F28" s="9" t="str">
        <f>IF($D28="","",IFERROR(INDEX('MASTER DATA'!$C$5:$C$12,MATCH($D28,'MASTER DATA'!$A$5:$A$12,0)),"NOT FOUND"))</f>
        <v/>
      </c>
      <c r="G28" s="9" t="str">
        <f>IF($D28="","",IFERROR(INDEX('MASTER DATA'!$D$5:$D$12,MATCH($D28,'MASTER DATA'!$A$5:$A$12,0)),""))</f>
        <v/>
      </c>
      <c r="H28" s="10" t="str">
        <f>IF($D28="","",IFERROR(INDEX('MASTER DATA'!$E$5:$E$12,MATCH($D28,'MASTER DATA'!$A$5:$A$12,0)),""))</f>
        <v/>
      </c>
      <c r="I28" s="10" t="str">
        <f>IF($D28="","",IFERROR(INDEX('MASTER DATA'!$F$5:$F$12,MATCH($D28,'MASTER DATA'!$A$5:$A$12,0)),""))</f>
        <v/>
      </c>
      <c r="J28" s="11"/>
      <c r="K28" s="11"/>
      <c r="L28" s="11"/>
      <c r="M28" s="10" t="str">
        <f t="shared" si="0"/>
        <v/>
      </c>
      <c r="N28" s="10" t="str">
        <f t="shared" si="1"/>
        <v/>
      </c>
      <c r="O28" s="9" t="str">
        <f t="shared" si="2"/>
        <v>INCOMPLETE</v>
      </c>
      <c r="P28" s="7"/>
    </row>
    <row r="29" spans="1:16" x14ac:dyDescent="0.25">
      <c r="A29" s="7"/>
      <c r="B29" s="8"/>
      <c r="C29" s="7"/>
      <c r="D29" s="7"/>
      <c r="E29" s="9" t="str">
        <f>IF($D29="","",IFERROR(INDEX('MASTER DATA'!$B$5:$B$12,MATCH($D29,'MASTER DATA'!$A$5:$A$12,0)),"NOT FOUND"))</f>
        <v/>
      </c>
      <c r="F29" s="9" t="str">
        <f>IF($D29="","",IFERROR(INDEX('MASTER DATA'!$C$5:$C$12,MATCH($D29,'MASTER DATA'!$A$5:$A$12,0)),"NOT FOUND"))</f>
        <v/>
      </c>
      <c r="G29" s="9" t="str">
        <f>IF($D29="","",IFERROR(INDEX('MASTER DATA'!$D$5:$D$12,MATCH($D29,'MASTER DATA'!$A$5:$A$12,0)),""))</f>
        <v/>
      </c>
      <c r="H29" s="10" t="str">
        <f>IF($D29="","",IFERROR(INDEX('MASTER DATA'!$E$5:$E$12,MATCH($D29,'MASTER DATA'!$A$5:$A$12,0)),""))</f>
        <v/>
      </c>
      <c r="I29" s="10" t="str">
        <f>IF($D29="","",IFERROR(INDEX('MASTER DATA'!$F$5:$F$12,MATCH($D29,'MASTER DATA'!$A$5:$A$12,0)),""))</f>
        <v/>
      </c>
      <c r="J29" s="11"/>
      <c r="K29" s="11"/>
      <c r="L29" s="11"/>
      <c r="M29" s="10" t="str">
        <f t="shared" si="0"/>
        <v/>
      </c>
      <c r="N29" s="10" t="str">
        <f t="shared" si="1"/>
        <v/>
      </c>
      <c r="O29" s="9" t="str">
        <f t="shared" si="2"/>
        <v>INCOMPLETE</v>
      </c>
      <c r="P29" s="7"/>
    </row>
    <row r="30" spans="1:16" x14ac:dyDescent="0.25">
      <c r="A30" s="7"/>
      <c r="B30" s="8"/>
      <c r="C30" s="7"/>
      <c r="D30" s="7"/>
      <c r="E30" s="9" t="str">
        <f>IF($D30="","",IFERROR(INDEX('MASTER DATA'!$B$5:$B$12,MATCH($D30,'MASTER DATA'!$A$5:$A$12,0)),"NOT FOUND"))</f>
        <v/>
      </c>
      <c r="F30" s="9" t="str">
        <f>IF($D30="","",IFERROR(INDEX('MASTER DATA'!$C$5:$C$12,MATCH($D30,'MASTER DATA'!$A$5:$A$12,0)),"NOT FOUND"))</f>
        <v/>
      </c>
      <c r="G30" s="9" t="str">
        <f>IF($D30="","",IFERROR(INDEX('MASTER DATA'!$D$5:$D$12,MATCH($D30,'MASTER DATA'!$A$5:$A$12,0)),""))</f>
        <v/>
      </c>
      <c r="H30" s="10" t="str">
        <f>IF($D30="","",IFERROR(INDEX('MASTER DATA'!$E$5:$E$12,MATCH($D30,'MASTER DATA'!$A$5:$A$12,0)),""))</f>
        <v/>
      </c>
      <c r="I30" s="10" t="str">
        <f>IF($D30="","",IFERROR(INDEX('MASTER DATA'!$F$5:$F$12,MATCH($D30,'MASTER DATA'!$A$5:$A$12,0)),""))</f>
        <v/>
      </c>
      <c r="J30" s="11"/>
      <c r="K30" s="11"/>
      <c r="L30" s="11"/>
      <c r="M30" s="10" t="str">
        <f t="shared" si="0"/>
        <v/>
      </c>
      <c r="N30" s="10" t="str">
        <f t="shared" si="1"/>
        <v/>
      </c>
      <c r="O30" s="9" t="str">
        <f t="shared" si="2"/>
        <v>INCOMPLETE</v>
      </c>
      <c r="P30" s="7"/>
    </row>
    <row r="31" spans="1:16" x14ac:dyDescent="0.25">
      <c r="A31" s="7"/>
      <c r="B31" s="8"/>
      <c r="C31" s="7"/>
      <c r="D31" s="7"/>
      <c r="E31" s="9" t="str">
        <f>IF($D31="","",IFERROR(INDEX('MASTER DATA'!$B$5:$B$12,MATCH($D31,'MASTER DATA'!$A$5:$A$12,0)),"NOT FOUND"))</f>
        <v/>
      </c>
      <c r="F31" s="9" t="str">
        <f>IF($D31="","",IFERROR(INDEX('MASTER DATA'!$C$5:$C$12,MATCH($D31,'MASTER DATA'!$A$5:$A$12,0)),"NOT FOUND"))</f>
        <v/>
      </c>
      <c r="G31" s="9" t="str">
        <f>IF($D31="","",IFERROR(INDEX('MASTER DATA'!$D$5:$D$12,MATCH($D31,'MASTER DATA'!$A$5:$A$12,0)),""))</f>
        <v/>
      </c>
      <c r="H31" s="10" t="str">
        <f>IF($D31="","",IFERROR(INDEX('MASTER DATA'!$E$5:$E$12,MATCH($D31,'MASTER DATA'!$A$5:$A$12,0)),""))</f>
        <v/>
      </c>
      <c r="I31" s="10" t="str">
        <f>IF($D31="","",IFERROR(INDEX('MASTER DATA'!$F$5:$F$12,MATCH($D31,'MASTER DATA'!$A$5:$A$12,0)),""))</f>
        <v/>
      </c>
      <c r="J31" s="11"/>
      <c r="K31" s="11"/>
      <c r="L31" s="11"/>
      <c r="M31" s="10" t="str">
        <f t="shared" si="0"/>
        <v/>
      </c>
      <c r="N31" s="10" t="str">
        <f t="shared" si="1"/>
        <v/>
      </c>
      <c r="O31" s="9" t="str">
        <f t="shared" si="2"/>
        <v>INCOMPLETE</v>
      </c>
      <c r="P31" s="7"/>
    </row>
    <row r="32" spans="1:16" x14ac:dyDescent="0.25">
      <c r="A32" s="7"/>
      <c r="B32" s="8"/>
      <c r="C32" s="7"/>
      <c r="D32" s="7"/>
      <c r="E32" s="9" t="str">
        <f>IF($D32="","",IFERROR(INDEX('MASTER DATA'!$B$5:$B$12,MATCH($D32,'MASTER DATA'!$A$5:$A$12,0)),"NOT FOUND"))</f>
        <v/>
      </c>
      <c r="F32" s="9" t="str">
        <f>IF($D32="","",IFERROR(INDEX('MASTER DATA'!$C$5:$C$12,MATCH($D32,'MASTER DATA'!$A$5:$A$12,0)),"NOT FOUND"))</f>
        <v/>
      </c>
      <c r="G32" s="9" t="str">
        <f>IF($D32="","",IFERROR(INDEX('MASTER DATA'!$D$5:$D$12,MATCH($D32,'MASTER DATA'!$A$5:$A$12,0)),""))</f>
        <v/>
      </c>
      <c r="H32" s="10" t="str">
        <f>IF($D32="","",IFERROR(INDEX('MASTER DATA'!$E$5:$E$12,MATCH($D32,'MASTER DATA'!$A$5:$A$12,0)),""))</f>
        <v/>
      </c>
      <c r="I32" s="10" t="str">
        <f>IF($D32="","",IFERROR(INDEX('MASTER DATA'!$F$5:$F$12,MATCH($D32,'MASTER DATA'!$A$5:$A$12,0)),""))</f>
        <v/>
      </c>
      <c r="J32" s="11"/>
      <c r="K32" s="11"/>
      <c r="L32" s="11"/>
      <c r="M32" s="10" t="str">
        <f t="shared" si="0"/>
        <v/>
      </c>
      <c r="N32" s="10" t="str">
        <f t="shared" si="1"/>
        <v/>
      </c>
      <c r="O32" s="9" t="str">
        <f t="shared" si="2"/>
        <v>INCOMPLETE</v>
      </c>
      <c r="P32" s="7"/>
    </row>
    <row r="33" spans="1:16" x14ac:dyDescent="0.25">
      <c r="A33" s="7"/>
      <c r="B33" s="8"/>
      <c r="C33" s="7"/>
      <c r="D33" s="7"/>
      <c r="E33" s="9" t="str">
        <f>IF($D33="","",IFERROR(INDEX('MASTER DATA'!$B$5:$B$12,MATCH($D33,'MASTER DATA'!$A$5:$A$12,0)),"NOT FOUND"))</f>
        <v/>
      </c>
      <c r="F33" s="9" t="str">
        <f>IF($D33="","",IFERROR(INDEX('MASTER DATA'!$C$5:$C$12,MATCH($D33,'MASTER DATA'!$A$5:$A$12,0)),"NOT FOUND"))</f>
        <v/>
      </c>
      <c r="G33" s="9" t="str">
        <f>IF($D33="","",IFERROR(INDEX('MASTER DATA'!$D$5:$D$12,MATCH($D33,'MASTER DATA'!$A$5:$A$12,0)),""))</f>
        <v/>
      </c>
      <c r="H33" s="10" t="str">
        <f>IF($D33="","",IFERROR(INDEX('MASTER DATA'!$E$5:$E$12,MATCH($D33,'MASTER DATA'!$A$5:$A$12,0)),""))</f>
        <v/>
      </c>
      <c r="I33" s="10" t="str">
        <f>IF($D33="","",IFERROR(INDEX('MASTER DATA'!$F$5:$F$12,MATCH($D33,'MASTER DATA'!$A$5:$A$12,0)),""))</f>
        <v/>
      </c>
      <c r="J33" s="11"/>
      <c r="K33" s="11"/>
      <c r="L33" s="11"/>
      <c r="M33" s="10" t="str">
        <f t="shared" si="0"/>
        <v/>
      </c>
      <c r="N33" s="10" t="str">
        <f t="shared" si="1"/>
        <v/>
      </c>
      <c r="O33" s="9" t="str">
        <f t="shared" si="2"/>
        <v>INCOMPLETE</v>
      </c>
      <c r="P33" s="7"/>
    </row>
    <row r="34" spans="1:16" x14ac:dyDescent="0.25">
      <c r="A34" s="7"/>
      <c r="B34" s="8"/>
      <c r="C34" s="7"/>
      <c r="D34" s="7"/>
      <c r="E34" s="9" t="str">
        <f>IF($D34="","",IFERROR(INDEX('MASTER DATA'!$B$5:$B$12,MATCH($D34,'MASTER DATA'!$A$5:$A$12,0)),"NOT FOUND"))</f>
        <v/>
      </c>
      <c r="F34" s="9" t="str">
        <f>IF($D34="","",IFERROR(INDEX('MASTER DATA'!$C$5:$C$12,MATCH($D34,'MASTER DATA'!$A$5:$A$12,0)),"NOT FOUND"))</f>
        <v/>
      </c>
      <c r="G34" s="9" t="str">
        <f>IF($D34="","",IFERROR(INDEX('MASTER DATA'!$D$5:$D$12,MATCH($D34,'MASTER DATA'!$A$5:$A$12,0)),""))</f>
        <v/>
      </c>
      <c r="H34" s="10" t="str">
        <f>IF($D34="","",IFERROR(INDEX('MASTER DATA'!$E$5:$E$12,MATCH($D34,'MASTER DATA'!$A$5:$A$12,0)),""))</f>
        <v/>
      </c>
      <c r="I34" s="10" t="str">
        <f>IF($D34="","",IFERROR(INDEX('MASTER DATA'!$F$5:$F$12,MATCH($D34,'MASTER DATA'!$A$5:$A$12,0)),""))</f>
        <v/>
      </c>
      <c r="J34" s="11"/>
      <c r="K34" s="11"/>
      <c r="L34" s="11"/>
      <c r="M34" s="10" t="str">
        <f t="shared" si="0"/>
        <v/>
      </c>
      <c r="N34" s="10" t="str">
        <f t="shared" si="1"/>
        <v/>
      </c>
      <c r="O34" s="9" t="str">
        <f t="shared" si="2"/>
        <v>INCOMPLETE</v>
      </c>
      <c r="P34" s="7"/>
    </row>
    <row r="35" spans="1:16" x14ac:dyDescent="0.25">
      <c r="A35" s="7"/>
      <c r="B35" s="8"/>
      <c r="C35" s="7"/>
      <c r="D35" s="7"/>
      <c r="E35" s="9" t="str">
        <f>IF($D35="","",IFERROR(INDEX('MASTER DATA'!$B$5:$B$12,MATCH($D35,'MASTER DATA'!$A$5:$A$12,0)),"NOT FOUND"))</f>
        <v/>
      </c>
      <c r="F35" s="9" t="str">
        <f>IF($D35="","",IFERROR(INDEX('MASTER DATA'!$C$5:$C$12,MATCH($D35,'MASTER DATA'!$A$5:$A$12,0)),"NOT FOUND"))</f>
        <v/>
      </c>
      <c r="G35" s="9" t="str">
        <f>IF($D35="","",IFERROR(INDEX('MASTER DATA'!$D$5:$D$12,MATCH($D35,'MASTER DATA'!$A$5:$A$12,0)),""))</f>
        <v/>
      </c>
      <c r="H35" s="10" t="str">
        <f>IF($D35="","",IFERROR(INDEX('MASTER DATA'!$E$5:$E$12,MATCH($D35,'MASTER DATA'!$A$5:$A$12,0)),""))</f>
        <v/>
      </c>
      <c r="I35" s="10" t="str">
        <f>IF($D35="","",IFERROR(INDEX('MASTER DATA'!$F$5:$F$12,MATCH($D35,'MASTER DATA'!$A$5:$A$12,0)),""))</f>
        <v/>
      </c>
      <c r="J35" s="11"/>
      <c r="K35" s="11"/>
      <c r="L35" s="11"/>
      <c r="M35" s="10" t="str">
        <f t="shared" si="0"/>
        <v/>
      </c>
      <c r="N35" s="10" t="str">
        <f t="shared" si="1"/>
        <v/>
      </c>
      <c r="O35" s="9" t="str">
        <f t="shared" si="2"/>
        <v>INCOMPLETE</v>
      </c>
      <c r="P35" s="7"/>
    </row>
    <row r="36" spans="1:16" x14ac:dyDescent="0.25">
      <c r="A36" s="7"/>
      <c r="B36" s="8"/>
      <c r="C36" s="7"/>
      <c r="D36" s="7"/>
      <c r="E36" s="9" t="str">
        <f>IF($D36="","",IFERROR(INDEX('MASTER DATA'!$B$5:$B$12,MATCH($D36,'MASTER DATA'!$A$5:$A$12,0)),"NOT FOUND"))</f>
        <v/>
      </c>
      <c r="F36" s="9" t="str">
        <f>IF($D36="","",IFERROR(INDEX('MASTER DATA'!$C$5:$C$12,MATCH($D36,'MASTER DATA'!$A$5:$A$12,0)),"NOT FOUND"))</f>
        <v/>
      </c>
      <c r="G36" s="9" t="str">
        <f>IF($D36="","",IFERROR(INDEX('MASTER DATA'!$D$5:$D$12,MATCH($D36,'MASTER DATA'!$A$5:$A$12,0)),""))</f>
        <v/>
      </c>
      <c r="H36" s="10" t="str">
        <f>IF($D36="","",IFERROR(INDEX('MASTER DATA'!$E$5:$E$12,MATCH($D36,'MASTER DATA'!$A$5:$A$12,0)),""))</f>
        <v/>
      </c>
      <c r="I36" s="10" t="str">
        <f>IF($D36="","",IFERROR(INDEX('MASTER DATA'!$F$5:$F$12,MATCH($D36,'MASTER DATA'!$A$5:$A$12,0)),""))</f>
        <v/>
      </c>
      <c r="J36" s="11"/>
      <c r="K36" s="11"/>
      <c r="L36" s="11"/>
      <c r="M36" s="10" t="str">
        <f t="shared" si="0"/>
        <v/>
      </c>
      <c r="N36" s="10" t="str">
        <f t="shared" si="1"/>
        <v/>
      </c>
      <c r="O36" s="9" t="str">
        <f t="shared" si="2"/>
        <v>INCOMPLETE</v>
      </c>
      <c r="P36" s="7"/>
    </row>
    <row r="37" spans="1:16" x14ac:dyDescent="0.25">
      <c r="A37" s="7"/>
      <c r="B37" s="8"/>
      <c r="C37" s="7"/>
      <c r="D37" s="7"/>
      <c r="E37" s="9" t="str">
        <f>IF($D37="","",IFERROR(INDEX('MASTER DATA'!$B$5:$B$12,MATCH($D37,'MASTER DATA'!$A$5:$A$12,0)),"NOT FOUND"))</f>
        <v/>
      </c>
      <c r="F37" s="9" t="str">
        <f>IF($D37="","",IFERROR(INDEX('MASTER DATA'!$C$5:$C$12,MATCH($D37,'MASTER DATA'!$A$5:$A$12,0)),"NOT FOUND"))</f>
        <v/>
      </c>
      <c r="G37" s="9" t="str">
        <f>IF($D37="","",IFERROR(INDEX('MASTER DATA'!$D$5:$D$12,MATCH($D37,'MASTER DATA'!$A$5:$A$12,0)),""))</f>
        <v/>
      </c>
      <c r="H37" s="10" t="str">
        <f>IF($D37="","",IFERROR(INDEX('MASTER DATA'!$E$5:$E$12,MATCH($D37,'MASTER DATA'!$A$5:$A$12,0)),""))</f>
        <v/>
      </c>
      <c r="I37" s="10" t="str">
        <f>IF($D37="","",IFERROR(INDEX('MASTER DATA'!$F$5:$F$12,MATCH($D37,'MASTER DATA'!$A$5:$A$12,0)),""))</f>
        <v/>
      </c>
      <c r="J37" s="11"/>
      <c r="K37" s="11"/>
      <c r="L37" s="11"/>
      <c r="M37" s="10" t="str">
        <f t="shared" ref="M37:M54" si="3">IF(COUNT($J37:$L37)&lt;3,"",AVERAGE($J37:$L37))</f>
        <v/>
      </c>
      <c r="N37" s="10" t="str">
        <f t="shared" ref="N37:N54" si="4">IF($M37="","",$M37-$H37)</f>
        <v/>
      </c>
      <c r="O37" s="9" t="str">
        <f t="shared" ref="O37:O54" si="5">IF(OR($A37="",$B37="",$C37="",$D37="",COUNT($J37:$L37)&lt;3),"INCOMPLETE",IF(ABS($N37)&lt;=$I37,"PASS","REVIEW"))</f>
        <v>INCOMPLETE</v>
      </c>
      <c r="P37" s="7"/>
    </row>
    <row r="38" spans="1:16" x14ac:dyDescent="0.25">
      <c r="A38" s="7"/>
      <c r="B38" s="8"/>
      <c r="C38" s="7"/>
      <c r="D38" s="7"/>
      <c r="E38" s="9" t="str">
        <f>IF($D38="","",IFERROR(INDEX('MASTER DATA'!$B$5:$B$12,MATCH($D38,'MASTER DATA'!$A$5:$A$12,0)),"NOT FOUND"))</f>
        <v/>
      </c>
      <c r="F38" s="9" t="str">
        <f>IF($D38="","",IFERROR(INDEX('MASTER DATA'!$C$5:$C$12,MATCH($D38,'MASTER DATA'!$A$5:$A$12,0)),"NOT FOUND"))</f>
        <v/>
      </c>
      <c r="G38" s="9" t="str">
        <f>IF($D38="","",IFERROR(INDEX('MASTER DATA'!$D$5:$D$12,MATCH($D38,'MASTER DATA'!$A$5:$A$12,0)),""))</f>
        <v/>
      </c>
      <c r="H38" s="10" t="str">
        <f>IF($D38="","",IFERROR(INDEX('MASTER DATA'!$E$5:$E$12,MATCH($D38,'MASTER DATA'!$A$5:$A$12,0)),""))</f>
        <v/>
      </c>
      <c r="I38" s="10" t="str">
        <f>IF($D38="","",IFERROR(INDEX('MASTER DATA'!$F$5:$F$12,MATCH($D38,'MASTER DATA'!$A$5:$A$12,0)),""))</f>
        <v/>
      </c>
      <c r="J38" s="11"/>
      <c r="K38" s="11"/>
      <c r="L38" s="11"/>
      <c r="M38" s="10" t="str">
        <f t="shared" si="3"/>
        <v/>
      </c>
      <c r="N38" s="10" t="str">
        <f t="shared" si="4"/>
        <v/>
      </c>
      <c r="O38" s="9" t="str">
        <f t="shared" si="5"/>
        <v>INCOMPLETE</v>
      </c>
      <c r="P38" s="7"/>
    </row>
    <row r="39" spans="1:16" x14ac:dyDescent="0.25">
      <c r="A39" s="7"/>
      <c r="B39" s="8"/>
      <c r="C39" s="7"/>
      <c r="D39" s="7"/>
      <c r="E39" s="9" t="str">
        <f>IF($D39="","",IFERROR(INDEX('MASTER DATA'!$B$5:$B$12,MATCH($D39,'MASTER DATA'!$A$5:$A$12,0)),"NOT FOUND"))</f>
        <v/>
      </c>
      <c r="F39" s="9" t="str">
        <f>IF($D39="","",IFERROR(INDEX('MASTER DATA'!$C$5:$C$12,MATCH($D39,'MASTER DATA'!$A$5:$A$12,0)),"NOT FOUND"))</f>
        <v/>
      </c>
      <c r="G39" s="9" t="str">
        <f>IF($D39="","",IFERROR(INDEX('MASTER DATA'!$D$5:$D$12,MATCH($D39,'MASTER DATA'!$A$5:$A$12,0)),""))</f>
        <v/>
      </c>
      <c r="H39" s="10" t="str">
        <f>IF($D39="","",IFERROR(INDEX('MASTER DATA'!$E$5:$E$12,MATCH($D39,'MASTER DATA'!$A$5:$A$12,0)),""))</f>
        <v/>
      </c>
      <c r="I39" s="10" t="str">
        <f>IF($D39="","",IFERROR(INDEX('MASTER DATA'!$F$5:$F$12,MATCH($D39,'MASTER DATA'!$A$5:$A$12,0)),""))</f>
        <v/>
      </c>
      <c r="J39" s="11"/>
      <c r="K39" s="11"/>
      <c r="L39" s="11"/>
      <c r="M39" s="10" t="str">
        <f t="shared" si="3"/>
        <v/>
      </c>
      <c r="N39" s="10" t="str">
        <f t="shared" si="4"/>
        <v/>
      </c>
      <c r="O39" s="9" t="str">
        <f t="shared" si="5"/>
        <v>INCOMPLETE</v>
      </c>
      <c r="P39" s="7"/>
    </row>
    <row r="40" spans="1:16" x14ac:dyDescent="0.25">
      <c r="A40" s="7"/>
      <c r="B40" s="8"/>
      <c r="C40" s="7"/>
      <c r="D40" s="7"/>
      <c r="E40" s="9" t="str">
        <f>IF($D40="","",IFERROR(INDEX('MASTER DATA'!$B$5:$B$12,MATCH($D40,'MASTER DATA'!$A$5:$A$12,0)),"NOT FOUND"))</f>
        <v/>
      </c>
      <c r="F40" s="9" t="str">
        <f>IF($D40="","",IFERROR(INDEX('MASTER DATA'!$C$5:$C$12,MATCH($D40,'MASTER DATA'!$A$5:$A$12,0)),"NOT FOUND"))</f>
        <v/>
      </c>
      <c r="G40" s="9" t="str">
        <f>IF($D40="","",IFERROR(INDEX('MASTER DATA'!$D$5:$D$12,MATCH($D40,'MASTER DATA'!$A$5:$A$12,0)),""))</f>
        <v/>
      </c>
      <c r="H40" s="10" t="str">
        <f>IF($D40="","",IFERROR(INDEX('MASTER DATA'!$E$5:$E$12,MATCH($D40,'MASTER DATA'!$A$5:$A$12,0)),""))</f>
        <v/>
      </c>
      <c r="I40" s="10" t="str">
        <f>IF($D40="","",IFERROR(INDEX('MASTER DATA'!$F$5:$F$12,MATCH($D40,'MASTER DATA'!$A$5:$A$12,0)),""))</f>
        <v/>
      </c>
      <c r="J40" s="11"/>
      <c r="K40" s="11"/>
      <c r="L40" s="11"/>
      <c r="M40" s="10" t="str">
        <f t="shared" si="3"/>
        <v/>
      </c>
      <c r="N40" s="10" t="str">
        <f t="shared" si="4"/>
        <v/>
      </c>
      <c r="O40" s="9" t="str">
        <f t="shared" si="5"/>
        <v>INCOMPLETE</v>
      </c>
      <c r="P40" s="7"/>
    </row>
    <row r="41" spans="1:16" x14ac:dyDescent="0.25">
      <c r="A41" s="7"/>
      <c r="B41" s="8"/>
      <c r="C41" s="7"/>
      <c r="D41" s="7"/>
      <c r="E41" s="9" t="str">
        <f>IF($D41="","",IFERROR(INDEX('MASTER DATA'!$B$5:$B$12,MATCH($D41,'MASTER DATA'!$A$5:$A$12,0)),"NOT FOUND"))</f>
        <v/>
      </c>
      <c r="F41" s="9" t="str">
        <f>IF($D41="","",IFERROR(INDEX('MASTER DATA'!$C$5:$C$12,MATCH($D41,'MASTER DATA'!$A$5:$A$12,0)),"NOT FOUND"))</f>
        <v/>
      </c>
      <c r="G41" s="9" t="str">
        <f>IF($D41="","",IFERROR(INDEX('MASTER DATA'!$D$5:$D$12,MATCH($D41,'MASTER DATA'!$A$5:$A$12,0)),""))</f>
        <v/>
      </c>
      <c r="H41" s="10" t="str">
        <f>IF($D41="","",IFERROR(INDEX('MASTER DATA'!$E$5:$E$12,MATCH($D41,'MASTER DATA'!$A$5:$A$12,0)),""))</f>
        <v/>
      </c>
      <c r="I41" s="10" t="str">
        <f>IF($D41="","",IFERROR(INDEX('MASTER DATA'!$F$5:$F$12,MATCH($D41,'MASTER DATA'!$A$5:$A$12,0)),""))</f>
        <v/>
      </c>
      <c r="J41" s="11"/>
      <c r="K41" s="11"/>
      <c r="L41" s="11"/>
      <c r="M41" s="10" t="str">
        <f t="shared" si="3"/>
        <v/>
      </c>
      <c r="N41" s="10" t="str">
        <f t="shared" si="4"/>
        <v/>
      </c>
      <c r="O41" s="9" t="str">
        <f t="shared" si="5"/>
        <v>INCOMPLETE</v>
      </c>
      <c r="P41" s="7"/>
    </row>
    <row r="42" spans="1:16" x14ac:dyDescent="0.25">
      <c r="A42" s="7"/>
      <c r="B42" s="8"/>
      <c r="C42" s="7"/>
      <c r="D42" s="7"/>
      <c r="E42" s="9" t="str">
        <f>IF($D42="","",IFERROR(INDEX('MASTER DATA'!$B$5:$B$12,MATCH($D42,'MASTER DATA'!$A$5:$A$12,0)),"NOT FOUND"))</f>
        <v/>
      </c>
      <c r="F42" s="9" t="str">
        <f>IF($D42="","",IFERROR(INDEX('MASTER DATA'!$C$5:$C$12,MATCH($D42,'MASTER DATA'!$A$5:$A$12,0)),"NOT FOUND"))</f>
        <v/>
      </c>
      <c r="G42" s="9" t="str">
        <f>IF($D42="","",IFERROR(INDEX('MASTER DATA'!$D$5:$D$12,MATCH($D42,'MASTER DATA'!$A$5:$A$12,0)),""))</f>
        <v/>
      </c>
      <c r="H42" s="10" t="str">
        <f>IF($D42="","",IFERROR(INDEX('MASTER DATA'!$E$5:$E$12,MATCH($D42,'MASTER DATA'!$A$5:$A$12,0)),""))</f>
        <v/>
      </c>
      <c r="I42" s="10" t="str">
        <f>IF($D42="","",IFERROR(INDEX('MASTER DATA'!$F$5:$F$12,MATCH($D42,'MASTER DATA'!$A$5:$A$12,0)),""))</f>
        <v/>
      </c>
      <c r="J42" s="11"/>
      <c r="K42" s="11"/>
      <c r="L42" s="11"/>
      <c r="M42" s="10" t="str">
        <f t="shared" si="3"/>
        <v/>
      </c>
      <c r="N42" s="10" t="str">
        <f t="shared" si="4"/>
        <v/>
      </c>
      <c r="O42" s="9" t="str">
        <f t="shared" si="5"/>
        <v>INCOMPLETE</v>
      </c>
      <c r="P42" s="7"/>
    </row>
    <row r="43" spans="1:16" x14ac:dyDescent="0.25">
      <c r="A43" s="7"/>
      <c r="B43" s="8"/>
      <c r="C43" s="7"/>
      <c r="D43" s="7"/>
      <c r="E43" s="9" t="str">
        <f>IF($D43="","",IFERROR(INDEX('MASTER DATA'!$B$5:$B$12,MATCH($D43,'MASTER DATA'!$A$5:$A$12,0)),"NOT FOUND"))</f>
        <v/>
      </c>
      <c r="F43" s="9" t="str">
        <f>IF($D43="","",IFERROR(INDEX('MASTER DATA'!$C$5:$C$12,MATCH($D43,'MASTER DATA'!$A$5:$A$12,0)),"NOT FOUND"))</f>
        <v/>
      </c>
      <c r="G43" s="9" t="str">
        <f>IF($D43="","",IFERROR(INDEX('MASTER DATA'!$D$5:$D$12,MATCH($D43,'MASTER DATA'!$A$5:$A$12,0)),""))</f>
        <v/>
      </c>
      <c r="H43" s="10" t="str">
        <f>IF($D43="","",IFERROR(INDEX('MASTER DATA'!$E$5:$E$12,MATCH($D43,'MASTER DATA'!$A$5:$A$12,0)),""))</f>
        <v/>
      </c>
      <c r="I43" s="10" t="str">
        <f>IF($D43="","",IFERROR(INDEX('MASTER DATA'!$F$5:$F$12,MATCH($D43,'MASTER DATA'!$A$5:$A$12,0)),""))</f>
        <v/>
      </c>
      <c r="J43" s="11"/>
      <c r="K43" s="11"/>
      <c r="L43" s="11"/>
      <c r="M43" s="10" t="str">
        <f t="shared" si="3"/>
        <v/>
      </c>
      <c r="N43" s="10" t="str">
        <f t="shared" si="4"/>
        <v/>
      </c>
      <c r="O43" s="9" t="str">
        <f t="shared" si="5"/>
        <v>INCOMPLETE</v>
      </c>
      <c r="P43" s="7"/>
    </row>
    <row r="44" spans="1:16" x14ac:dyDescent="0.25">
      <c r="A44" s="7"/>
      <c r="B44" s="8"/>
      <c r="C44" s="7"/>
      <c r="D44" s="7"/>
      <c r="E44" s="9" t="str">
        <f>IF($D44="","",IFERROR(INDEX('MASTER DATA'!$B$5:$B$12,MATCH($D44,'MASTER DATA'!$A$5:$A$12,0)),"NOT FOUND"))</f>
        <v/>
      </c>
      <c r="F44" s="9" t="str">
        <f>IF($D44="","",IFERROR(INDEX('MASTER DATA'!$C$5:$C$12,MATCH($D44,'MASTER DATA'!$A$5:$A$12,0)),"NOT FOUND"))</f>
        <v/>
      </c>
      <c r="G44" s="9" t="str">
        <f>IF($D44="","",IFERROR(INDEX('MASTER DATA'!$D$5:$D$12,MATCH($D44,'MASTER DATA'!$A$5:$A$12,0)),""))</f>
        <v/>
      </c>
      <c r="H44" s="10" t="str">
        <f>IF($D44="","",IFERROR(INDEX('MASTER DATA'!$E$5:$E$12,MATCH($D44,'MASTER DATA'!$A$5:$A$12,0)),""))</f>
        <v/>
      </c>
      <c r="I44" s="10" t="str">
        <f>IF($D44="","",IFERROR(INDEX('MASTER DATA'!$F$5:$F$12,MATCH($D44,'MASTER DATA'!$A$5:$A$12,0)),""))</f>
        <v/>
      </c>
      <c r="J44" s="11"/>
      <c r="K44" s="11"/>
      <c r="L44" s="11"/>
      <c r="M44" s="10" t="str">
        <f t="shared" si="3"/>
        <v/>
      </c>
      <c r="N44" s="10" t="str">
        <f t="shared" si="4"/>
        <v/>
      </c>
      <c r="O44" s="9" t="str">
        <f t="shared" si="5"/>
        <v>INCOMPLETE</v>
      </c>
      <c r="P44" s="7"/>
    </row>
    <row r="45" spans="1:16" x14ac:dyDescent="0.25">
      <c r="A45" s="7"/>
      <c r="B45" s="8"/>
      <c r="C45" s="7"/>
      <c r="D45" s="7"/>
      <c r="E45" s="9" t="str">
        <f>IF($D45="","",IFERROR(INDEX('MASTER DATA'!$B$5:$B$12,MATCH($D45,'MASTER DATA'!$A$5:$A$12,0)),"NOT FOUND"))</f>
        <v/>
      </c>
      <c r="F45" s="9" t="str">
        <f>IF($D45="","",IFERROR(INDEX('MASTER DATA'!$C$5:$C$12,MATCH($D45,'MASTER DATA'!$A$5:$A$12,0)),"NOT FOUND"))</f>
        <v/>
      </c>
      <c r="G45" s="9" t="str">
        <f>IF($D45="","",IFERROR(INDEX('MASTER DATA'!$D$5:$D$12,MATCH($D45,'MASTER DATA'!$A$5:$A$12,0)),""))</f>
        <v/>
      </c>
      <c r="H45" s="10" t="str">
        <f>IF($D45="","",IFERROR(INDEX('MASTER DATA'!$E$5:$E$12,MATCH($D45,'MASTER DATA'!$A$5:$A$12,0)),""))</f>
        <v/>
      </c>
      <c r="I45" s="10" t="str">
        <f>IF($D45="","",IFERROR(INDEX('MASTER DATA'!$F$5:$F$12,MATCH($D45,'MASTER DATA'!$A$5:$A$12,0)),""))</f>
        <v/>
      </c>
      <c r="J45" s="11"/>
      <c r="K45" s="11"/>
      <c r="L45" s="11"/>
      <c r="M45" s="10" t="str">
        <f t="shared" si="3"/>
        <v/>
      </c>
      <c r="N45" s="10" t="str">
        <f t="shared" si="4"/>
        <v/>
      </c>
      <c r="O45" s="9" t="str">
        <f t="shared" si="5"/>
        <v>INCOMPLETE</v>
      </c>
      <c r="P45" s="7"/>
    </row>
    <row r="46" spans="1:16" x14ac:dyDescent="0.25">
      <c r="A46" s="7"/>
      <c r="B46" s="8"/>
      <c r="C46" s="7"/>
      <c r="D46" s="7"/>
      <c r="E46" s="9" t="str">
        <f>IF($D46="","",IFERROR(INDEX('MASTER DATA'!$B$5:$B$12,MATCH($D46,'MASTER DATA'!$A$5:$A$12,0)),"NOT FOUND"))</f>
        <v/>
      </c>
      <c r="F46" s="9" t="str">
        <f>IF($D46="","",IFERROR(INDEX('MASTER DATA'!$C$5:$C$12,MATCH($D46,'MASTER DATA'!$A$5:$A$12,0)),"NOT FOUND"))</f>
        <v/>
      </c>
      <c r="G46" s="9" t="str">
        <f>IF($D46="","",IFERROR(INDEX('MASTER DATA'!$D$5:$D$12,MATCH($D46,'MASTER DATA'!$A$5:$A$12,0)),""))</f>
        <v/>
      </c>
      <c r="H46" s="10" t="str">
        <f>IF($D46="","",IFERROR(INDEX('MASTER DATA'!$E$5:$E$12,MATCH($D46,'MASTER DATA'!$A$5:$A$12,0)),""))</f>
        <v/>
      </c>
      <c r="I46" s="10" t="str">
        <f>IF($D46="","",IFERROR(INDEX('MASTER DATA'!$F$5:$F$12,MATCH($D46,'MASTER DATA'!$A$5:$A$12,0)),""))</f>
        <v/>
      </c>
      <c r="J46" s="11"/>
      <c r="K46" s="11"/>
      <c r="L46" s="11"/>
      <c r="M46" s="10" t="str">
        <f t="shared" si="3"/>
        <v/>
      </c>
      <c r="N46" s="10" t="str">
        <f t="shared" si="4"/>
        <v/>
      </c>
      <c r="O46" s="9" t="str">
        <f t="shared" si="5"/>
        <v>INCOMPLETE</v>
      </c>
      <c r="P46" s="7"/>
    </row>
    <row r="47" spans="1:16" x14ac:dyDescent="0.25">
      <c r="A47" s="7"/>
      <c r="B47" s="8"/>
      <c r="C47" s="7"/>
      <c r="D47" s="7"/>
      <c r="E47" s="9" t="str">
        <f>IF($D47="","",IFERROR(INDEX('MASTER DATA'!$B$5:$B$12,MATCH($D47,'MASTER DATA'!$A$5:$A$12,0)),"NOT FOUND"))</f>
        <v/>
      </c>
      <c r="F47" s="9" t="str">
        <f>IF($D47="","",IFERROR(INDEX('MASTER DATA'!$C$5:$C$12,MATCH($D47,'MASTER DATA'!$A$5:$A$12,0)),"NOT FOUND"))</f>
        <v/>
      </c>
      <c r="G47" s="9" t="str">
        <f>IF($D47="","",IFERROR(INDEX('MASTER DATA'!$D$5:$D$12,MATCH($D47,'MASTER DATA'!$A$5:$A$12,0)),""))</f>
        <v/>
      </c>
      <c r="H47" s="10" t="str">
        <f>IF($D47="","",IFERROR(INDEX('MASTER DATA'!$E$5:$E$12,MATCH($D47,'MASTER DATA'!$A$5:$A$12,0)),""))</f>
        <v/>
      </c>
      <c r="I47" s="10" t="str">
        <f>IF($D47="","",IFERROR(INDEX('MASTER DATA'!$F$5:$F$12,MATCH($D47,'MASTER DATA'!$A$5:$A$12,0)),""))</f>
        <v/>
      </c>
      <c r="J47" s="11"/>
      <c r="K47" s="11"/>
      <c r="L47" s="11"/>
      <c r="M47" s="10" t="str">
        <f t="shared" si="3"/>
        <v/>
      </c>
      <c r="N47" s="10" t="str">
        <f t="shared" si="4"/>
        <v/>
      </c>
      <c r="O47" s="9" t="str">
        <f t="shared" si="5"/>
        <v>INCOMPLETE</v>
      </c>
      <c r="P47" s="7"/>
    </row>
    <row r="48" spans="1:16" x14ac:dyDescent="0.25">
      <c r="A48" s="7"/>
      <c r="B48" s="8"/>
      <c r="C48" s="7"/>
      <c r="D48" s="7"/>
      <c r="E48" s="9" t="str">
        <f>IF($D48="","",IFERROR(INDEX('MASTER DATA'!$B$5:$B$12,MATCH($D48,'MASTER DATA'!$A$5:$A$12,0)),"NOT FOUND"))</f>
        <v/>
      </c>
      <c r="F48" s="9" t="str">
        <f>IF($D48="","",IFERROR(INDEX('MASTER DATA'!$C$5:$C$12,MATCH($D48,'MASTER DATA'!$A$5:$A$12,0)),"NOT FOUND"))</f>
        <v/>
      </c>
      <c r="G48" s="9" t="str">
        <f>IF($D48="","",IFERROR(INDEX('MASTER DATA'!$D$5:$D$12,MATCH($D48,'MASTER DATA'!$A$5:$A$12,0)),""))</f>
        <v/>
      </c>
      <c r="H48" s="10" t="str">
        <f>IF($D48="","",IFERROR(INDEX('MASTER DATA'!$E$5:$E$12,MATCH($D48,'MASTER DATA'!$A$5:$A$12,0)),""))</f>
        <v/>
      </c>
      <c r="I48" s="10" t="str">
        <f>IF($D48="","",IFERROR(INDEX('MASTER DATA'!$F$5:$F$12,MATCH($D48,'MASTER DATA'!$A$5:$A$12,0)),""))</f>
        <v/>
      </c>
      <c r="J48" s="11"/>
      <c r="K48" s="11"/>
      <c r="L48" s="11"/>
      <c r="M48" s="10" t="str">
        <f t="shared" si="3"/>
        <v/>
      </c>
      <c r="N48" s="10" t="str">
        <f t="shared" si="4"/>
        <v/>
      </c>
      <c r="O48" s="9" t="str">
        <f t="shared" si="5"/>
        <v>INCOMPLETE</v>
      </c>
      <c r="P48" s="7"/>
    </row>
    <row r="49" spans="1:16" x14ac:dyDescent="0.25">
      <c r="A49" s="7"/>
      <c r="B49" s="8"/>
      <c r="C49" s="7"/>
      <c r="D49" s="7"/>
      <c r="E49" s="9" t="str">
        <f>IF($D49="","",IFERROR(INDEX('MASTER DATA'!$B$5:$B$12,MATCH($D49,'MASTER DATA'!$A$5:$A$12,0)),"NOT FOUND"))</f>
        <v/>
      </c>
      <c r="F49" s="9" t="str">
        <f>IF($D49="","",IFERROR(INDEX('MASTER DATA'!$C$5:$C$12,MATCH($D49,'MASTER DATA'!$A$5:$A$12,0)),"NOT FOUND"))</f>
        <v/>
      </c>
      <c r="G49" s="9" t="str">
        <f>IF($D49="","",IFERROR(INDEX('MASTER DATA'!$D$5:$D$12,MATCH($D49,'MASTER DATA'!$A$5:$A$12,0)),""))</f>
        <v/>
      </c>
      <c r="H49" s="10" t="str">
        <f>IF($D49="","",IFERROR(INDEX('MASTER DATA'!$E$5:$E$12,MATCH($D49,'MASTER DATA'!$A$5:$A$12,0)),""))</f>
        <v/>
      </c>
      <c r="I49" s="10" t="str">
        <f>IF($D49="","",IFERROR(INDEX('MASTER DATA'!$F$5:$F$12,MATCH($D49,'MASTER DATA'!$A$5:$A$12,0)),""))</f>
        <v/>
      </c>
      <c r="J49" s="11"/>
      <c r="K49" s="11"/>
      <c r="L49" s="11"/>
      <c r="M49" s="10" t="str">
        <f t="shared" si="3"/>
        <v/>
      </c>
      <c r="N49" s="10" t="str">
        <f t="shared" si="4"/>
        <v/>
      </c>
      <c r="O49" s="9" t="str">
        <f t="shared" si="5"/>
        <v>INCOMPLETE</v>
      </c>
      <c r="P49" s="7"/>
    </row>
    <row r="50" spans="1:16" x14ac:dyDescent="0.25">
      <c r="A50" s="7"/>
      <c r="B50" s="8"/>
      <c r="C50" s="7"/>
      <c r="D50" s="7"/>
      <c r="E50" s="9" t="str">
        <f>IF($D50="","",IFERROR(INDEX('MASTER DATA'!$B$5:$B$12,MATCH($D50,'MASTER DATA'!$A$5:$A$12,0)),"NOT FOUND"))</f>
        <v/>
      </c>
      <c r="F50" s="9" t="str">
        <f>IF($D50="","",IFERROR(INDEX('MASTER DATA'!$C$5:$C$12,MATCH($D50,'MASTER DATA'!$A$5:$A$12,0)),"NOT FOUND"))</f>
        <v/>
      </c>
      <c r="G50" s="9" t="str">
        <f>IF($D50="","",IFERROR(INDEX('MASTER DATA'!$D$5:$D$12,MATCH($D50,'MASTER DATA'!$A$5:$A$12,0)),""))</f>
        <v/>
      </c>
      <c r="H50" s="10" t="str">
        <f>IF($D50="","",IFERROR(INDEX('MASTER DATA'!$E$5:$E$12,MATCH($D50,'MASTER DATA'!$A$5:$A$12,0)),""))</f>
        <v/>
      </c>
      <c r="I50" s="10" t="str">
        <f>IF($D50="","",IFERROR(INDEX('MASTER DATA'!$F$5:$F$12,MATCH($D50,'MASTER DATA'!$A$5:$A$12,0)),""))</f>
        <v/>
      </c>
      <c r="J50" s="11"/>
      <c r="K50" s="11"/>
      <c r="L50" s="11"/>
      <c r="M50" s="10" t="str">
        <f t="shared" si="3"/>
        <v/>
      </c>
      <c r="N50" s="10" t="str">
        <f t="shared" si="4"/>
        <v/>
      </c>
      <c r="O50" s="9" t="str">
        <f t="shared" si="5"/>
        <v>INCOMPLETE</v>
      </c>
      <c r="P50" s="7"/>
    </row>
    <row r="51" spans="1:16" x14ac:dyDescent="0.25">
      <c r="A51" s="7"/>
      <c r="B51" s="8"/>
      <c r="C51" s="7"/>
      <c r="D51" s="7"/>
      <c r="E51" s="9" t="str">
        <f>IF($D51="","",IFERROR(INDEX('MASTER DATA'!$B$5:$B$12,MATCH($D51,'MASTER DATA'!$A$5:$A$12,0)),"NOT FOUND"))</f>
        <v/>
      </c>
      <c r="F51" s="9" t="str">
        <f>IF($D51="","",IFERROR(INDEX('MASTER DATA'!$C$5:$C$12,MATCH($D51,'MASTER DATA'!$A$5:$A$12,0)),"NOT FOUND"))</f>
        <v/>
      </c>
      <c r="G51" s="9" t="str">
        <f>IF($D51="","",IFERROR(INDEX('MASTER DATA'!$D$5:$D$12,MATCH($D51,'MASTER DATA'!$A$5:$A$12,0)),""))</f>
        <v/>
      </c>
      <c r="H51" s="10" t="str">
        <f>IF($D51="","",IFERROR(INDEX('MASTER DATA'!$E$5:$E$12,MATCH($D51,'MASTER DATA'!$A$5:$A$12,0)),""))</f>
        <v/>
      </c>
      <c r="I51" s="10" t="str">
        <f>IF($D51="","",IFERROR(INDEX('MASTER DATA'!$F$5:$F$12,MATCH($D51,'MASTER DATA'!$A$5:$A$12,0)),""))</f>
        <v/>
      </c>
      <c r="J51" s="11"/>
      <c r="K51" s="11"/>
      <c r="L51" s="11"/>
      <c r="M51" s="10" t="str">
        <f t="shared" si="3"/>
        <v/>
      </c>
      <c r="N51" s="10" t="str">
        <f t="shared" si="4"/>
        <v/>
      </c>
      <c r="O51" s="9" t="str">
        <f t="shared" si="5"/>
        <v>INCOMPLETE</v>
      </c>
      <c r="P51" s="7"/>
    </row>
    <row r="52" spans="1:16" x14ac:dyDescent="0.25">
      <c r="A52" s="7"/>
      <c r="B52" s="8"/>
      <c r="C52" s="7"/>
      <c r="D52" s="7"/>
      <c r="E52" s="9" t="str">
        <f>IF($D52="","",IFERROR(INDEX('MASTER DATA'!$B$5:$B$12,MATCH($D52,'MASTER DATA'!$A$5:$A$12,0)),"NOT FOUND"))</f>
        <v/>
      </c>
      <c r="F52" s="9" t="str">
        <f>IF($D52="","",IFERROR(INDEX('MASTER DATA'!$C$5:$C$12,MATCH($D52,'MASTER DATA'!$A$5:$A$12,0)),"NOT FOUND"))</f>
        <v/>
      </c>
      <c r="G52" s="9" t="str">
        <f>IF($D52="","",IFERROR(INDEX('MASTER DATA'!$D$5:$D$12,MATCH($D52,'MASTER DATA'!$A$5:$A$12,0)),""))</f>
        <v/>
      </c>
      <c r="H52" s="10" t="str">
        <f>IF($D52="","",IFERROR(INDEX('MASTER DATA'!$E$5:$E$12,MATCH($D52,'MASTER DATA'!$A$5:$A$12,0)),""))</f>
        <v/>
      </c>
      <c r="I52" s="10" t="str">
        <f>IF($D52="","",IFERROR(INDEX('MASTER DATA'!$F$5:$F$12,MATCH($D52,'MASTER DATA'!$A$5:$A$12,0)),""))</f>
        <v/>
      </c>
      <c r="J52" s="11"/>
      <c r="K52" s="11"/>
      <c r="L52" s="11"/>
      <c r="M52" s="10" t="str">
        <f t="shared" si="3"/>
        <v/>
      </c>
      <c r="N52" s="10" t="str">
        <f t="shared" si="4"/>
        <v/>
      </c>
      <c r="O52" s="9" t="str">
        <f t="shared" si="5"/>
        <v>INCOMPLETE</v>
      </c>
      <c r="P52" s="7"/>
    </row>
    <row r="53" spans="1:16" x14ac:dyDescent="0.25">
      <c r="A53" s="7"/>
      <c r="B53" s="8"/>
      <c r="C53" s="7"/>
      <c r="D53" s="7"/>
      <c r="E53" s="9" t="str">
        <f>IF($D53="","",IFERROR(INDEX('MASTER DATA'!$B$5:$B$12,MATCH($D53,'MASTER DATA'!$A$5:$A$12,0)),"NOT FOUND"))</f>
        <v/>
      </c>
      <c r="F53" s="9" t="str">
        <f>IF($D53="","",IFERROR(INDEX('MASTER DATA'!$C$5:$C$12,MATCH($D53,'MASTER DATA'!$A$5:$A$12,0)),"NOT FOUND"))</f>
        <v/>
      </c>
      <c r="G53" s="9" t="str">
        <f>IF($D53="","",IFERROR(INDEX('MASTER DATA'!$D$5:$D$12,MATCH($D53,'MASTER DATA'!$A$5:$A$12,0)),""))</f>
        <v/>
      </c>
      <c r="H53" s="10" t="str">
        <f>IF($D53="","",IFERROR(INDEX('MASTER DATA'!$E$5:$E$12,MATCH($D53,'MASTER DATA'!$A$5:$A$12,0)),""))</f>
        <v/>
      </c>
      <c r="I53" s="10" t="str">
        <f>IF($D53="","",IFERROR(INDEX('MASTER DATA'!$F$5:$F$12,MATCH($D53,'MASTER DATA'!$A$5:$A$12,0)),""))</f>
        <v/>
      </c>
      <c r="J53" s="11"/>
      <c r="K53" s="11"/>
      <c r="L53" s="11"/>
      <c r="M53" s="10" t="str">
        <f t="shared" si="3"/>
        <v/>
      </c>
      <c r="N53" s="10" t="str">
        <f t="shared" si="4"/>
        <v/>
      </c>
      <c r="O53" s="9" t="str">
        <f t="shared" si="5"/>
        <v>INCOMPLETE</v>
      </c>
      <c r="P53" s="7"/>
    </row>
    <row r="54" spans="1:16" x14ac:dyDescent="0.25">
      <c r="A54" s="7"/>
      <c r="B54" s="8"/>
      <c r="C54" s="7"/>
      <c r="D54" s="7"/>
      <c r="E54" s="9" t="str">
        <f>IF($D54="","",IFERROR(INDEX('MASTER DATA'!$B$5:$B$12,MATCH($D54,'MASTER DATA'!$A$5:$A$12,0)),"NOT FOUND"))</f>
        <v/>
      </c>
      <c r="F54" s="9" t="str">
        <f>IF($D54="","",IFERROR(INDEX('MASTER DATA'!$C$5:$C$12,MATCH($D54,'MASTER DATA'!$A$5:$A$12,0)),"NOT FOUND"))</f>
        <v/>
      </c>
      <c r="G54" s="9" t="str">
        <f>IF($D54="","",IFERROR(INDEX('MASTER DATA'!$D$5:$D$12,MATCH($D54,'MASTER DATA'!$A$5:$A$12,0)),""))</f>
        <v/>
      </c>
      <c r="H54" s="10" t="str">
        <f>IF($D54="","",IFERROR(INDEX('MASTER DATA'!$E$5:$E$12,MATCH($D54,'MASTER DATA'!$A$5:$A$12,0)),""))</f>
        <v/>
      </c>
      <c r="I54" s="10" t="str">
        <f>IF($D54="","",IFERROR(INDEX('MASTER DATA'!$F$5:$F$12,MATCH($D54,'MASTER DATA'!$A$5:$A$12,0)),""))</f>
        <v/>
      </c>
      <c r="J54" s="11"/>
      <c r="K54" s="11"/>
      <c r="L54" s="11"/>
      <c r="M54" s="10" t="str">
        <f t="shared" si="3"/>
        <v/>
      </c>
      <c r="N54" s="10" t="str">
        <f t="shared" si="4"/>
        <v/>
      </c>
      <c r="O54" s="9" t="str">
        <f t="shared" si="5"/>
        <v>INCOMPLETE</v>
      </c>
      <c r="P54" s="7"/>
    </row>
  </sheetData>
  <autoFilter ref="A4:P54" xr:uid="{00000000-0009-0000-0000-000002000000}"/>
  <mergeCells count="2">
    <mergeCell ref="A1:J1"/>
    <mergeCell ref="A2:J2"/>
  </mergeCells>
  <conditionalFormatting sqref="O5:O54">
    <cfRule type="expression" dxfId="1" priority="1">
      <formula>$O5="REVIEW"</formula>
    </cfRule>
    <cfRule type="expression" dxfId="0" priority="2">
      <formula>$O5="PASS"</formula>
    </cfRule>
  </conditionalFormatting>
  <dataValidations count="4">
    <dataValidation type="list" allowBlank="1" showErrorMessage="1" errorTitle="Asset ID tidak ditemukan" error="Gunakan salah satu kode dari daftar." promptTitle="Pilih Asset ID" prompt="Pilih kode yang tersedia di MASTER DATA." sqref="D5:D54" xr:uid="{00000000-0002-0000-0200-000000000000}">
      <formula1>AssetIDs</formula1>
    </dataValidation>
    <dataValidation type="list" allowBlank="1" sqref="C5:C54" xr:uid="{00000000-0002-0000-0200-000001000000}">
      <formula1>Technicians</formula1>
    </dataValidation>
    <dataValidation type="date" allowBlank="1" sqref="B5:B54" xr:uid="{00000000-0002-0000-0200-000002000000}">
      <formula1>DATE(2020,1,1)</formula1>
      <formula2>DATE(2035,12,31)</formula2>
    </dataValidation>
    <dataValidation type="decimal" allowBlank="1" sqref="J5:L54" xr:uid="{00000000-0002-0000-0200-000003000000}">
      <formula1>-1000000</formula1>
      <formula2>1000000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16" customWidth="1"/>
    <col min="3" max="7" width="13" customWidth="1"/>
    <col min="8" max="8" width="29" customWidth="1"/>
    <col min="9" max="9" width="15" customWidth="1"/>
  </cols>
  <sheetData>
    <row r="1" spans="1:10" ht="32.1" customHeight="1" x14ac:dyDescent="0.25">
      <c r="A1" s="15" t="s">
        <v>93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 x14ac:dyDescent="0.25">
      <c r="A2" s="26" t="s">
        <v>94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25">
      <c r="A4" s="6" t="s">
        <v>95</v>
      </c>
      <c r="B4" s="6" t="s">
        <v>76</v>
      </c>
      <c r="C4" s="6" t="s">
        <v>23</v>
      </c>
      <c r="D4" s="6" t="s">
        <v>27</v>
      </c>
      <c r="E4" s="6" t="s">
        <v>96</v>
      </c>
      <c r="F4" s="6" t="s">
        <v>81</v>
      </c>
      <c r="G4" s="6" t="s">
        <v>82</v>
      </c>
      <c r="H4" s="6" t="s">
        <v>97</v>
      </c>
      <c r="I4" s="6" t="s">
        <v>83</v>
      </c>
    </row>
    <row r="5" spans="1:10" x14ac:dyDescent="0.25">
      <c r="A5" s="9">
        <v>5</v>
      </c>
      <c r="B5" s="9" t="str">
        <f>'INPUT LOG'!A5</f>
        <v>WO-2401</v>
      </c>
      <c r="C5" s="9" t="str">
        <f>'INPUT LOG'!D5</f>
        <v>AST-001</v>
      </c>
      <c r="D5" s="10">
        <f>'INPUT LOG'!H5</f>
        <v>5</v>
      </c>
      <c r="E5" s="10">
        <f>'INPUT LOG'!I5</f>
        <v>0.1</v>
      </c>
      <c r="F5" s="10">
        <f>'INPUT LOG'!M5</f>
        <v>5.0199999999999996</v>
      </c>
      <c r="G5" s="10">
        <f>'INPUT LOG'!N5</f>
        <v>1.9999999999999574E-2</v>
      </c>
      <c r="H5" s="9" t="s">
        <v>98</v>
      </c>
      <c r="I5" s="9" t="str">
        <f>'INPUT LOG'!O5</f>
        <v>PASS</v>
      </c>
    </row>
    <row r="6" spans="1:10" x14ac:dyDescent="0.25">
      <c r="A6" s="9">
        <v>6</v>
      </c>
      <c r="B6" s="9" t="str">
        <f>'INPUT LOG'!A6</f>
        <v>WO-2402</v>
      </c>
      <c r="C6" s="9" t="str">
        <f>'INPUT LOG'!D6</f>
        <v>AST-002</v>
      </c>
      <c r="D6" s="10">
        <f>'INPUT LOG'!H6</f>
        <v>100</v>
      </c>
      <c r="E6" s="10">
        <f>'INPUT LOG'!I6</f>
        <v>0.5</v>
      </c>
      <c r="F6" s="10">
        <f>'INPUT LOG'!M6</f>
        <v>100.2</v>
      </c>
      <c r="G6" s="10">
        <f>'INPUT LOG'!N6</f>
        <v>0.20000000000000284</v>
      </c>
      <c r="H6" s="9" t="s">
        <v>98</v>
      </c>
      <c r="I6" s="9" t="str">
        <f>'INPUT LOG'!O6</f>
        <v>PASS</v>
      </c>
    </row>
    <row r="7" spans="1:10" x14ac:dyDescent="0.25">
      <c r="A7" s="9">
        <v>7</v>
      </c>
      <c r="B7" s="9" t="str">
        <f>'INPUT LOG'!A7</f>
        <v>WO-2403</v>
      </c>
      <c r="C7" s="9" t="str">
        <f>'INPUT LOG'!D7</f>
        <v>AST-003</v>
      </c>
      <c r="D7" s="10">
        <f>'INPUT LOG'!H7</f>
        <v>50</v>
      </c>
      <c r="E7" s="10">
        <f>'INPUT LOG'!I7</f>
        <v>1</v>
      </c>
      <c r="F7" s="10">
        <f>'INPUT LOG'!M7</f>
        <v>51.1</v>
      </c>
      <c r="G7" s="10">
        <f>'INPUT LOG'!N7</f>
        <v>1.1000000000000014</v>
      </c>
      <c r="H7" s="9" t="s">
        <v>98</v>
      </c>
      <c r="I7" s="9" t="str">
        <f>'INPUT LOG'!O7</f>
        <v>REVIEW</v>
      </c>
    </row>
    <row r="8" spans="1:10" x14ac:dyDescent="0.25">
      <c r="A8" s="9">
        <v>8</v>
      </c>
      <c r="B8" s="9" t="str">
        <f>'INPUT LOG'!A8</f>
        <v>WO-2404</v>
      </c>
      <c r="C8" s="9" t="str">
        <f>'INPUT LOG'!D8</f>
        <v>AST-004</v>
      </c>
      <c r="D8" s="10">
        <f>'INPUT LOG'!H8</f>
        <v>25</v>
      </c>
      <c r="E8" s="10">
        <f>'INPUT LOG'!I8</f>
        <v>0.05</v>
      </c>
      <c r="F8" s="10">
        <f>'INPUT LOG'!M8</f>
        <v>25.013333333333335</v>
      </c>
      <c r="G8" s="10">
        <f>'INPUT LOG'!N8</f>
        <v>1.3333333333335418E-2</v>
      </c>
      <c r="H8" s="9" t="s">
        <v>98</v>
      </c>
      <c r="I8" s="9" t="str">
        <f>'INPUT LOG'!O8</f>
        <v>PASS</v>
      </c>
    </row>
    <row r="9" spans="1:10" x14ac:dyDescent="0.25">
      <c r="A9" s="9">
        <v>9</v>
      </c>
      <c r="B9" s="9" t="str">
        <f>'INPUT LOG'!A9</f>
        <v>WO-2405</v>
      </c>
      <c r="C9" s="9" t="str">
        <f>'INPUT LOG'!D9</f>
        <v>AST-006</v>
      </c>
      <c r="D9" s="10">
        <f>'INPUT LOG'!H9</f>
        <v>10</v>
      </c>
      <c r="E9" s="10">
        <f>'INPUT LOG'!I9</f>
        <v>0.02</v>
      </c>
      <c r="F9" s="10">
        <f>'INPUT LOG'!M9</f>
        <v>10.033333333333333</v>
      </c>
      <c r="G9" s="10">
        <f>'INPUT LOG'!N9</f>
        <v>3.3333333333333215E-2</v>
      </c>
      <c r="H9" s="9" t="s">
        <v>98</v>
      </c>
      <c r="I9" s="9" t="str">
        <f>'INPUT LOG'!O9</f>
        <v>REVIEW</v>
      </c>
    </row>
    <row r="10" spans="1:10" x14ac:dyDescent="0.25">
      <c r="A10" s="9">
        <v>10</v>
      </c>
      <c r="B10" s="9">
        <f>'INPUT LOG'!A10</f>
        <v>0</v>
      </c>
      <c r="C10" s="9">
        <f>'INPUT LOG'!D10</f>
        <v>0</v>
      </c>
      <c r="D10" s="10" t="str">
        <f>'INPUT LOG'!H10</f>
        <v/>
      </c>
      <c r="E10" s="10" t="str">
        <f>'INPUT LOG'!I10</f>
        <v/>
      </c>
      <c r="F10" s="10" t="str">
        <f>'INPUT LOG'!M10</f>
        <v/>
      </c>
      <c r="G10" s="10" t="str">
        <f>'INPUT LOG'!N10</f>
        <v/>
      </c>
      <c r="H10" s="9" t="s">
        <v>98</v>
      </c>
      <c r="I10" s="9" t="str">
        <f>'INPUT LOG'!O10</f>
        <v>INCOMPLETE</v>
      </c>
    </row>
    <row r="11" spans="1:10" x14ac:dyDescent="0.25">
      <c r="A11" s="9">
        <v>11</v>
      </c>
      <c r="B11" s="9">
        <f>'INPUT LOG'!A11</f>
        <v>0</v>
      </c>
      <c r="C11" s="9">
        <f>'INPUT LOG'!D11</f>
        <v>0</v>
      </c>
      <c r="D11" s="10" t="str">
        <f>'INPUT LOG'!H11</f>
        <v/>
      </c>
      <c r="E11" s="10" t="str">
        <f>'INPUT LOG'!I11</f>
        <v/>
      </c>
      <c r="F11" s="10" t="str">
        <f>'INPUT LOG'!M11</f>
        <v/>
      </c>
      <c r="G11" s="10" t="str">
        <f>'INPUT LOG'!N11</f>
        <v/>
      </c>
      <c r="H11" s="9" t="s">
        <v>98</v>
      </c>
      <c r="I11" s="9" t="str">
        <f>'INPUT LOG'!O11</f>
        <v>INCOMPLETE</v>
      </c>
    </row>
    <row r="12" spans="1:10" x14ac:dyDescent="0.25">
      <c r="A12" s="9">
        <v>12</v>
      </c>
      <c r="B12" s="9">
        <f>'INPUT LOG'!A12</f>
        <v>0</v>
      </c>
      <c r="C12" s="9">
        <f>'INPUT LOG'!D12</f>
        <v>0</v>
      </c>
      <c r="D12" s="10" t="str">
        <f>'INPUT LOG'!H12</f>
        <v/>
      </c>
      <c r="E12" s="10" t="str">
        <f>'INPUT LOG'!I12</f>
        <v/>
      </c>
      <c r="F12" s="10" t="str">
        <f>'INPUT LOG'!M12</f>
        <v/>
      </c>
      <c r="G12" s="10" t="str">
        <f>'INPUT LOG'!N12</f>
        <v/>
      </c>
      <c r="H12" s="9" t="s">
        <v>98</v>
      </c>
      <c r="I12" s="9" t="str">
        <f>'INPUT LOG'!O12</f>
        <v>INCOMPLETE</v>
      </c>
    </row>
    <row r="13" spans="1:10" x14ac:dyDescent="0.25">
      <c r="A13" s="9">
        <v>13</v>
      </c>
      <c r="B13" s="9">
        <f>'INPUT LOG'!A13</f>
        <v>0</v>
      </c>
      <c r="C13" s="9">
        <f>'INPUT LOG'!D13</f>
        <v>0</v>
      </c>
      <c r="D13" s="10" t="str">
        <f>'INPUT LOG'!H13</f>
        <v/>
      </c>
      <c r="E13" s="10" t="str">
        <f>'INPUT LOG'!I13</f>
        <v/>
      </c>
      <c r="F13" s="10" t="str">
        <f>'INPUT LOG'!M13</f>
        <v/>
      </c>
      <c r="G13" s="10" t="str">
        <f>'INPUT LOG'!N13</f>
        <v/>
      </c>
      <c r="H13" s="9" t="s">
        <v>98</v>
      </c>
      <c r="I13" s="9" t="str">
        <f>'INPUT LOG'!O13</f>
        <v>INCOMPLETE</v>
      </c>
    </row>
    <row r="14" spans="1:10" x14ac:dyDescent="0.25">
      <c r="A14" s="9">
        <v>14</v>
      </c>
      <c r="B14" s="9">
        <f>'INPUT LOG'!A14</f>
        <v>0</v>
      </c>
      <c r="C14" s="9">
        <f>'INPUT LOG'!D14</f>
        <v>0</v>
      </c>
      <c r="D14" s="10" t="str">
        <f>'INPUT LOG'!H14</f>
        <v/>
      </c>
      <c r="E14" s="10" t="str">
        <f>'INPUT LOG'!I14</f>
        <v/>
      </c>
      <c r="F14" s="10" t="str">
        <f>'INPUT LOG'!M14</f>
        <v/>
      </c>
      <c r="G14" s="10" t="str">
        <f>'INPUT LOG'!N14</f>
        <v/>
      </c>
      <c r="H14" s="9" t="s">
        <v>98</v>
      </c>
      <c r="I14" s="9" t="str">
        <f>'INPUT LOG'!O14</f>
        <v>INCOMPLETE</v>
      </c>
    </row>
    <row r="15" spans="1:10" x14ac:dyDescent="0.25">
      <c r="A15" s="9">
        <v>15</v>
      </c>
      <c r="B15" s="9">
        <f>'INPUT LOG'!A15</f>
        <v>0</v>
      </c>
      <c r="C15" s="9">
        <f>'INPUT LOG'!D15</f>
        <v>0</v>
      </c>
      <c r="D15" s="10" t="str">
        <f>'INPUT LOG'!H15</f>
        <v/>
      </c>
      <c r="E15" s="10" t="str">
        <f>'INPUT LOG'!I15</f>
        <v/>
      </c>
      <c r="F15" s="10" t="str">
        <f>'INPUT LOG'!M15</f>
        <v/>
      </c>
      <c r="G15" s="10" t="str">
        <f>'INPUT LOG'!N15</f>
        <v/>
      </c>
      <c r="H15" s="9" t="s">
        <v>98</v>
      </c>
      <c r="I15" s="9" t="str">
        <f>'INPUT LOG'!O15</f>
        <v>INCOMPLETE</v>
      </c>
    </row>
    <row r="16" spans="1:10" x14ac:dyDescent="0.25">
      <c r="A16" s="9">
        <v>16</v>
      </c>
      <c r="B16" s="9">
        <f>'INPUT LOG'!A16</f>
        <v>0</v>
      </c>
      <c r="C16" s="9">
        <f>'INPUT LOG'!D16</f>
        <v>0</v>
      </c>
      <c r="D16" s="10" t="str">
        <f>'INPUT LOG'!H16</f>
        <v/>
      </c>
      <c r="E16" s="10" t="str">
        <f>'INPUT LOG'!I16</f>
        <v/>
      </c>
      <c r="F16" s="10" t="str">
        <f>'INPUT LOG'!M16</f>
        <v/>
      </c>
      <c r="G16" s="10" t="str">
        <f>'INPUT LOG'!N16</f>
        <v/>
      </c>
      <c r="H16" s="9" t="s">
        <v>98</v>
      </c>
      <c r="I16" s="9" t="str">
        <f>'INPUT LOG'!O16</f>
        <v>INCOMPLETE</v>
      </c>
    </row>
    <row r="17" spans="1:9" x14ac:dyDescent="0.25">
      <c r="A17" s="9">
        <v>17</v>
      </c>
      <c r="B17" s="9">
        <f>'INPUT LOG'!A17</f>
        <v>0</v>
      </c>
      <c r="C17" s="9">
        <f>'INPUT LOG'!D17</f>
        <v>0</v>
      </c>
      <c r="D17" s="10" t="str">
        <f>'INPUT LOG'!H17</f>
        <v/>
      </c>
      <c r="E17" s="10" t="str">
        <f>'INPUT LOG'!I17</f>
        <v/>
      </c>
      <c r="F17" s="10" t="str">
        <f>'INPUT LOG'!M17</f>
        <v/>
      </c>
      <c r="G17" s="10" t="str">
        <f>'INPUT LOG'!N17</f>
        <v/>
      </c>
      <c r="H17" s="9" t="s">
        <v>98</v>
      </c>
      <c r="I17" s="9" t="str">
        <f>'INPUT LOG'!O17</f>
        <v>INCOMPLETE</v>
      </c>
    </row>
    <row r="18" spans="1:9" x14ac:dyDescent="0.25">
      <c r="A18" s="9">
        <v>18</v>
      </c>
      <c r="B18" s="9">
        <f>'INPUT LOG'!A18</f>
        <v>0</v>
      </c>
      <c r="C18" s="9">
        <f>'INPUT LOG'!D18</f>
        <v>0</v>
      </c>
      <c r="D18" s="10" t="str">
        <f>'INPUT LOG'!H18</f>
        <v/>
      </c>
      <c r="E18" s="10" t="str">
        <f>'INPUT LOG'!I18</f>
        <v/>
      </c>
      <c r="F18" s="10" t="str">
        <f>'INPUT LOG'!M18</f>
        <v/>
      </c>
      <c r="G18" s="10" t="str">
        <f>'INPUT LOG'!N18</f>
        <v/>
      </c>
      <c r="H18" s="9" t="s">
        <v>98</v>
      </c>
      <c r="I18" s="9" t="str">
        <f>'INPUT LOG'!O18</f>
        <v>INCOMPLETE</v>
      </c>
    </row>
    <row r="19" spans="1:9" x14ac:dyDescent="0.25">
      <c r="A19" s="9">
        <v>19</v>
      </c>
      <c r="B19" s="9">
        <f>'INPUT LOG'!A19</f>
        <v>0</v>
      </c>
      <c r="C19" s="9">
        <f>'INPUT LOG'!D19</f>
        <v>0</v>
      </c>
      <c r="D19" s="10" t="str">
        <f>'INPUT LOG'!H19</f>
        <v/>
      </c>
      <c r="E19" s="10" t="str">
        <f>'INPUT LOG'!I19</f>
        <v/>
      </c>
      <c r="F19" s="10" t="str">
        <f>'INPUT LOG'!M19</f>
        <v/>
      </c>
      <c r="G19" s="10" t="str">
        <f>'INPUT LOG'!N19</f>
        <v/>
      </c>
      <c r="H19" s="9" t="s">
        <v>98</v>
      </c>
      <c r="I19" s="9" t="str">
        <f>'INPUT LOG'!O19</f>
        <v>INCOMPLETE</v>
      </c>
    </row>
    <row r="20" spans="1:9" x14ac:dyDescent="0.25">
      <c r="A20" s="9">
        <v>20</v>
      </c>
      <c r="B20" s="9">
        <f>'INPUT LOG'!A20</f>
        <v>0</v>
      </c>
      <c r="C20" s="9">
        <f>'INPUT LOG'!D20</f>
        <v>0</v>
      </c>
      <c r="D20" s="10" t="str">
        <f>'INPUT LOG'!H20</f>
        <v/>
      </c>
      <c r="E20" s="10" t="str">
        <f>'INPUT LOG'!I20</f>
        <v/>
      </c>
      <c r="F20" s="10" t="str">
        <f>'INPUT LOG'!M20</f>
        <v/>
      </c>
      <c r="G20" s="10" t="str">
        <f>'INPUT LOG'!N20</f>
        <v/>
      </c>
      <c r="H20" s="9" t="s">
        <v>98</v>
      </c>
      <c r="I20" s="9" t="str">
        <f>'INPUT LOG'!O20</f>
        <v>INCOMPLETE</v>
      </c>
    </row>
    <row r="21" spans="1:9" x14ac:dyDescent="0.25">
      <c r="A21" s="9">
        <v>21</v>
      </c>
      <c r="B21" s="9">
        <f>'INPUT LOG'!A21</f>
        <v>0</v>
      </c>
      <c r="C21" s="9">
        <f>'INPUT LOG'!D21</f>
        <v>0</v>
      </c>
      <c r="D21" s="10" t="str">
        <f>'INPUT LOG'!H21</f>
        <v/>
      </c>
      <c r="E21" s="10" t="str">
        <f>'INPUT LOG'!I21</f>
        <v/>
      </c>
      <c r="F21" s="10" t="str">
        <f>'INPUT LOG'!M21</f>
        <v/>
      </c>
      <c r="G21" s="10" t="str">
        <f>'INPUT LOG'!N21</f>
        <v/>
      </c>
      <c r="H21" s="9" t="s">
        <v>98</v>
      </c>
      <c r="I21" s="9" t="str">
        <f>'INPUT LOG'!O21</f>
        <v>INCOMPLETE</v>
      </c>
    </row>
    <row r="22" spans="1:9" x14ac:dyDescent="0.25">
      <c r="A22" s="9">
        <v>22</v>
      </c>
      <c r="B22" s="9">
        <f>'INPUT LOG'!A22</f>
        <v>0</v>
      </c>
      <c r="C22" s="9">
        <f>'INPUT LOG'!D22</f>
        <v>0</v>
      </c>
      <c r="D22" s="10" t="str">
        <f>'INPUT LOG'!H22</f>
        <v/>
      </c>
      <c r="E22" s="10" t="str">
        <f>'INPUT LOG'!I22</f>
        <v/>
      </c>
      <c r="F22" s="10" t="str">
        <f>'INPUT LOG'!M22</f>
        <v/>
      </c>
      <c r="G22" s="10" t="str">
        <f>'INPUT LOG'!N22</f>
        <v/>
      </c>
      <c r="H22" s="9" t="s">
        <v>98</v>
      </c>
      <c r="I22" s="9" t="str">
        <f>'INPUT LOG'!O22</f>
        <v>INCOMPLETE</v>
      </c>
    </row>
    <row r="23" spans="1:9" x14ac:dyDescent="0.25">
      <c r="A23" s="9">
        <v>23</v>
      </c>
      <c r="B23" s="9">
        <f>'INPUT LOG'!A23</f>
        <v>0</v>
      </c>
      <c r="C23" s="9">
        <f>'INPUT LOG'!D23</f>
        <v>0</v>
      </c>
      <c r="D23" s="10" t="str">
        <f>'INPUT LOG'!H23</f>
        <v/>
      </c>
      <c r="E23" s="10" t="str">
        <f>'INPUT LOG'!I23</f>
        <v/>
      </c>
      <c r="F23" s="10" t="str">
        <f>'INPUT LOG'!M23</f>
        <v/>
      </c>
      <c r="G23" s="10" t="str">
        <f>'INPUT LOG'!N23</f>
        <v/>
      </c>
      <c r="H23" s="9" t="s">
        <v>98</v>
      </c>
      <c r="I23" s="9" t="str">
        <f>'INPUT LOG'!O23</f>
        <v>INCOMPLETE</v>
      </c>
    </row>
    <row r="24" spans="1:9" x14ac:dyDescent="0.25">
      <c r="A24" s="9">
        <v>24</v>
      </c>
      <c r="B24" s="9">
        <f>'INPUT LOG'!A24</f>
        <v>0</v>
      </c>
      <c r="C24" s="9">
        <f>'INPUT LOG'!D24</f>
        <v>0</v>
      </c>
      <c r="D24" s="10" t="str">
        <f>'INPUT LOG'!H24</f>
        <v/>
      </c>
      <c r="E24" s="10" t="str">
        <f>'INPUT LOG'!I24</f>
        <v/>
      </c>
      <c r="F24" s="10" t="str">
        <f>'INPUT LOG'!M24</f>
        <v/>
      </c>
      <c r="G24" s="10" t="str">
        <f>'INPUT LOG'!N24</f>
        <v/>
      </c>
      <c r="H24" s="9" t="s">
        <v>98</v>
      </c>
      <c r="I24" s="9" t="str">
        <f>'INPUT LOG'!O24</f>
        <v>INCOMPLETE</v>
      </c>
    </row>
    <row r="25" spans="1:9" x14ac:dyDescent="0.25">
      <c r="A25" s="9">
        <v>25</v>
      </c>
      <c r="B25" s="9">
        <f>'INPUT LOG'!A25</f>
        <v>0</v>
      </c>
      <c r="C25" s="9">
        <f>'INPUT LOG'!D25</f>
        <v>0</v>
      </c>
      <c r="D25" s="10" t="str">
        <f>'INPUT LOG'!H25</f>
        <v/>
      </c>
      <c r="E25" s="10" t="str">
        <f>'INPUT LOG'!I25</f>
        <v/>
      </c>
      <c r="F25" s="10" t="str">
        <f>'INPUT LOG'!M25</f>
        <v/>
      </c>
      <c r="G25" s="10" t="str">
        <f>'INPUT LOG'!N25</f>
        <v/>
      </c>
      <c r="H25" s="9" t="s">
        <v>98</v>
      </c>
      <c r="I25" s="9" t="str">
        <f>'INPUT LOG'!O25</f>
        <v>INCOMPLETE</v>
      </c>
    </row>
    <row r="26" spans="1:9" x14ac:dyDescent="0.25">
      <c r="A26" s="9">
        <v>26</v>
      </c>
      <c r="B26" s="9">
        <f>'INPUT LOG'!A26</f>
        <v>0</v>
      </c>
      <c r="C26" s="9">
        <f>'INPUT LOG'!D26</f>
        <v>0</v>
      </c>
      <c r="D26" s="10" t="str">
        <f>'INPUT LOG'!H26</f>
        <v/>
      </c>
      <c r="E26" s="10" t="str">
        <f>'INPUT LOG'!I26</f>
        <v/>
      </c>
      <c r="F26" s="10" t="str">
        <f>'INPUT LOG'!M26</f>
        <v/>
      </c>
      <c r="G26" s="10" t="str">
        <f>'INPUT LOG'!N26</f>
        <v/>
      </c>
      <c r="H26" s="9" t="s">
        <v>98</v>
      </c>
      <c r="I26" s="9" t="str">
        <f>'INPUT LOG'!O26</f>
        <v>INCOMPLETE</v>
      </c>
    </row>
    <row r="27" spans="1:9" x14ac:dyDescent="0.25">
      <c r="A27" s="9">
        <v>27</v>
      </c>
      <c r="B27" s="9">
        <f>'INPUT LOG'!A27</f>
        <v>0</v>
      </c>
      <c r="C27" s="9">
        <f>'INPUT LOG'!D27</f>
        <v>0</v>
      </c>
      <c r="D27" s="10" t="str">
        <f>'INPUT LOG'!H27</f>
        <v/>
      </c>
      <c r="E27" s="10" t="str">
        <f>'INPUT LOG'!I27</f>
        <v/>
      </c>
      <c r="F27" s="10" t="str">
        <f>'INPUT LOG'!M27</f>
        <v/>
      </c>
      <c r="G27" s="10" t="str">
        <f>'INPUT LOG'!N27</f>
        <v/>
      </c>
      <c r="H27" s="9" t="s">
        <v>98</v>
      </c>
      <c r="I27" s="9" t="str">
        <f>'INPUT LOG'!O27</f>
        <v>INCOMPLETE</v>
      </c>
    </row>
    <row r="28" spans="1:9" x14ac:dyDescent="0.25">
      <c r="A28" s="9">
        <v>28</v>
      </c>
      <c r="B28" s="9">
        <f>'INPUT LOG'!A28</f>
        <v>0</v>
      </c>
      <c r="C28" s="9">
        <f>'INPUT LOG'!D28</f>
        <v>0</v>
      </c>
      <c r="D28" s="10" t="str">
        <f>'INPUT LOG'!H28</f>
        <v/>
      </c>
      <c r="E28" s="10" t="str">
        <f>'INPUT LOG'!I28</f>
        <v/>
      </c>
      <c r="F28" s="10" t="str">
        <f>'INPUT LOG'!M28</f>
        <v/>
      </c>
      <c r="G28" s="10" t="str">
        <f>'INPUT LOG'!N28</f>
        <v/>
      </c>
      <c r="H28" s="9" t="s">
        <v>98</v>
      </c>
      <c r="I28" s="9" t="str">
        <f>'INPUT LOG'!O28</f>
        <v>INCOMPLETE</v>
      </c>
    </row>
    <row r="29" spans="1:9" x14ac:dyDescent="0.25">
      <c r="A29" s="9">
        <v>29</v>
      </c>
      <c r="B29" s="9">
        <f>'INPUT LOG'!A29</f>
        <v>0</v>
      </c>
      <c r="C29" s="9">
        <f>'INPUT LOG'!D29</f>
        <v>0</v>
      </c>
      <c r="D29" s="10" t="str">
        <f>'INPUT LOG'!H29</f>
        <v/>
      </c>
      <c r="E29" s="10" t="str">
        <f>'INPUT LOG'!I29</f>
        <v/>
      </c>
      <c r="F29" s="10" t="str">
        <f>'INPUT LOG'!M29</f>
        <v/>
      </c>
      <c r="G29" s="10" t="str">
        <f>'INPUT LOG'!N29</f>
        <v/>
      </c>
      <c r="H29" s="9" t="s">
        <v>98</v>
      </c>
      <c r="I29" s="9" t="str">
        <f>'INPUT LOG'!O29</f>
        <v>INCOMPLETE</v>
      </c>
    </row>
    <row r="30" spans="1:9" x14ac:dyDescent="0.25">
      <c r="A30" s="9">
        <v>30</v>
      </c>
      <c r="B30" s="9">
        <f>'INPUT LOG'!A30</f>
        <v>0</v>
      </c>
      <c r="C30" s="9">
        <f>'INPUT LOG'!D30</f>
        <v>0</v>
      </c>
      <c r="D30" s="10" t="str">
        <f>'INPUT LOG'!H30</f>
        <v/>
      </c>
      <c r="E30" s="10" t="str">
        <f>'INPUT LOG'!I30</f>
        <v/>
      </c>
      <c r="F30" s="10" t="str">
        <f>'INPUT LOG'!M30</f>
        <v/>
      </c>
      <c r="G30" s="10" t="str">
        <f>'INPUT LOG'!N30</f>
        <v/>
      </c>
      <c r="H30" s="9" t="s">
        <v>98</v>
      </c>
      <c r="I30" s="9" t="str">
        <f>'INPUT LOG'!O30</f>
        <v>INCOMPLETE</v>
      </c>
    </row>
    <row r="31" spans="1:9" x14ac:dyDescent="0.25">
      <c r="A31" s="9">
        <v>31</v>
      </c>
      <c r="B31" s="9">
        <f>'INPUT LOG'!A31</f>
        <v>0</v>
      </c>
      <c r="C31" s="9">
        <f>'INPUT LOG'!D31</f>
        <v>0</v>
      </c>
      <c r="D31" s="10" t="str">
        <f>'INPUT LOG'!H31</f>
        <v/>
      </c>
      <c r="E31" s="10" t="str">
        <f>'INPUT LOG'!I31</f>
        <v/>
      </c>
      <c r="F31" s="10" t="str">
        <f>'INPUT LOG'!M31</f>
        <v/>
      </c>
      <c r="G31" s="10" t="str">
        <f>'INPUT LOG'!N31</f>
        <v/>
      </c>
      <c r="H31" s="9" t="s">
        <v>98</v>
      </c>
      <c r="I31" s="9" t="str">
        <f>'INPUT LOG'!O31</f>
        <v>INCOMPLETE</v>
      </c>
    </row>
    <row r="32" spans="1:9" x14ac:dyDescent="0.25">
      <c r="A32" s="9">
        <v>32</v>
      </c>
      <c r="B32" s="9">
        <f>'INPUT LOG'!A32</f>
        <v>0</v>
      </c>
      <c r="C32" s="9">
        <f>'INPUT LOG'!D32</f>
        <v>0</v>
      </c>
      <c r="D32" s="10" t="str">
        <f>'INPUT LOG'!H32</f>
        <v/>
      </c>
      <c r="E32" s="10" t="str">
        <f>'INPUT LOG'!I32</f>
        <v/>
      </c>
      <c r="F32" s="10" t="str">
        <f>'INPUT LOG'!M32</f>
        <v/>
      </c>
      <c r="G32" s="10" t="str">
        <f>'INPUT LOG'!N32</f>
        <v/>
      </c>
      <c r="H32" s="9" t="s">
        <v>98</v>
      </c>
      <c r="I32" s="9" t="str">
        <f>'INPUT LOG'!O32</f>
        <v>INCOMPLETE</v>
      </c>
    </row>
    <row r="33" spans="1:9" x14ac:dyDescent="0.25">
      <c r="A33" s="9">
        <v>33</v>
      </c>
      <c r="B33" s="9">
        <f>'INPUT LOG'!A33</f>
        <v>0</v>
      </c>
      <c r="C33" s="9">
        <f>'INPUT LOG'!D33</f>
        <v>0</v>
      </c>
      <c r="D33" s="10" t="str">
        <f>'INPUT LOG'!H33</f>
        <v/>
      </c>
      <c r="E33" s="10" t="str">
        <f>'INPUT LOG'!I33</f>
        <v/>
      </c>
      <c r="F33" s="10" t="str">
        <f>'INPUT LOG'!M33</f>
        <v/>
      </c>
      <c r="G33" s="10" t="str">
        <f>'INPUT LOG'!N33</f>
        <v/>
      </c>
      <c r="H33" s="9" t="s">
        <v>98</v>
      </c>
      <c r="I33" s="9" t="str">
        <f>'INPUT LOG'!O33</f>
        <v>INCOMPLETE</v>
      </c>
    </row>
    <row r="34" spans="1:9" x14ac:dyDescent="0.25">
      <c r="A34" s="9">
        <v>34</v>
      </c>
      <c r="B34" s="9">
        <f>'INPUT LOG'!A34</f>
        <v>0</v>
      </c>
      <c r="C34" s="9">
        <f>'INPUT LOG'!D34</f>
        <v>0</v>
      </c>
      <c r="D34" s="10" t="str">
        <f>'INPUT LOG'!H34</f>
        <v/>
      </c>
      <c r="E34" s="10" t="str">
        <f>'INPUT LOG'!I34</f>
        <v/>
      </c>
      <c r="F34" s="10" t="str">
        <f>'INPUT LOG'!M34</f>
        <v/>
      </c>
      <c r="G34" s="10" t="str">
        <f>'INPUT LOG'!N34</f>
        <v/>
      </c>
      <c r="H34" s="9" t="s">
        <v>98</v>
      </c>
      <c r="I34" s="9" t="str">
        <f>'INPUT LOG'!O34</f>
        <v>INCOMPLETE</v>
      </c>
    </row>
    <row r="35" spans="1:9" x14ac:dyDescent="0.25">
      <c r="A35" s="9">
        <v>35</v>
      </c>
      <c r="B35" s="9">
        <f>'INPUT LOG'!A35</f>
        <v>0</v>
      </c>
      <c r="C35" s="9">
        <f>'INPUT LOG'!D35</f>
        <v>0</v>
      </c>
      <c r="D35" s="10" t="str">
        <f>'INPUT LOG'!H35</f>
        <v/>
      </c>
      <c r="E35" s="10" t="str">
        <f>'INPUT LOG'!I35</f>
        <v/>
      </c>
      <c r="F35" s="10" t="str">
        <f>'INPUT LOG'!M35</f>
        <v/>
      </c>
      <c r="G35" s="10" t="str">
        <f>'INPUT LOG'!N35</f>
        <v/>
      </c>
      <c r="H35" s="9" t="s">
        <v>98</v>
      </c>
      <c r="I35" s="9" t="str">
        <f>'INPUT LOG'!O35</f>
        <v>INCOMPLETE</v>
      </c>
    </row>
    <row r="36" spans="1:9" x14ac:dyDescent="0.25">
      <c r="A36" s="9">
        <v>36</v>
      </c>
      <c r="B36" s="9">
        <f>'INPUT LOG'!A36</f>
        <v>0</v>
      </c>
      <c r="C36" s="9">
        <f>'INPUT LOG'!D36</f>
        <v>0</v>
      </c>
      <c r="D36" s="10" t="str">
        <f>'INPUT LOG'!H36</f>
        <v/>
      </c>
      <c r="E36" s="10" t="str">
        <f>'INPUT LOG'!I36</f>
        <v/>
      </c>
      <c r="F36" s="10" t="str">
        <f>'INPUT LOG'!M36</f>
        <v/>
      </c>
      <c r="G36" s="10" t="str">
        <f>'INPUT LOG'!N36</f>
        <v/>
      </c>
      <c r="H36" s="9" t="s">
        <v>98</v>
      </c>
      <c r="I36" s="9" t="str">
        <f>'INPUT LOG'!O36</f>
        <v>INCOMPLETE</v>
      </c>
    </row>
    <row r="37" spans="1:9" x14ac:dyDescent="0.25">
      <c r="A37" s="9">
        <v>37</v>
      </c>
      <c r="B37" s="9">
        <f>'INPUT LOG'!A37</f>
        <v>0</v>
      </c>
      <c r="C37" s="9">
        <f>'INPUT LOG'!D37</f>
        <v>0</v>
      </c>
      <c r="D37" s="10" t="str">
        <f>'INPUT LOG'!H37</f>
        <v/>
      </c>
      <c r="E37" s="10" t="str">
        <f>'INPUT LOG'!I37</f>
        <v/>
      </c>
      <c r="F37" s="10" t="str">
        <f>'INPUT LOG'!M37</f>
        <v/>
      </c>
      <c r="G37" s="10" t="str">
        <f>'INPUT LOG'!N37</f>
        <v/>
      </c>
      <c r="H37" s="9" t="s">
        <v>98</v>
      </c>
      <c r="I37" s="9" t="str">
        <f>'INPUT LOG'!O37</f>
        <v>INCOMPLETE</v>
      </c>
    </row>
    <row r="38" spans="1:9" x14ac:dyDescent="0.25">
      <c r="A38" s="9">
        <v>38</v>
      </c>
      <c r="B38" s="9">
        <f>'INPUT LOG'!A38</f>
        <v>0</v>
      </c>
      <c r="C38" s="9">
        <f>'INPUT LOG'!D38</f>
        <v>0</v>
      </c>
      <c r="D38" s="10" t="str">
        <f>'INPUT LOG'!H38</f>
        <v/>
      </c>
      <c r="E38" s="10" t="str">
        <f>'INPUT LOG'!I38</f>
        <v/>
      </c>
      <c r="F38" s="10" t="str">
        <f>'INPUT LOG'!M38</f>
        <v/>
      </c>
      <c r="G38" s="10" t="str">
        <f>'INPUT LOG'!N38</f>
        <v/>
      </c>
      <c r="H38" s="9" t="s">
        <v>98</v>
      </c>
      <c r="I38" s="9" t="str">
        <f>'INPUT LOG'!O38</f>
        <v>INCOMPLETE</v>
      </c>
    </row>
    <row r="39" spans="1:9" x14ac:dyDescent="0.25">
      <c r="A39" s="9">
        <v>39</v>
      </c>
      <c r="B39" s="9">
        <f>'INPUT LOG'!A39</f>
        <v>0</v>
      </c>
      <c r="C39" s="9">
        <f>'INPUT LOG'!D39</f>
        <v>0</v>
      </c>
      <c r="D39" s="10" t="str">
        <f>'INPUT LOG'!H39</f>
        <v/>
      </c>
      <c r="E39" s="10" t="str">
        <f>'INPUT LOG'!I39</f>
        <v/>
      </c>
      <c r="F39" s="10" t="str">
        <f>'INPUT LOG'!M39</f>
        <v/>
      </c>
      <c r="G39" s="10" t="str">
        <f>'INPUT LOG'!N39</f>
        <v/>
      </c>
      <c r="H39" s="9" t="s">
        <v>98</v>
      </c>
      <c r="I39" s="9" t="str">
        <f>'INPUT LOG'!O39</f>
        <v>INCOMPLETE</v>
      </c>
    </row>
    <row r="40" spans="1:9" x14ac:dyDescent="0.25">
      <c r="A40" s="9">
        <v>40</v>
      </c>
      <c r="B40" s="9">
        <f>'INPUT LOG'!A40</f>
        <v>0</v>
      </c>
      <c r="C40" s="9">
        <f>'INPUT LOG'!D40</f>
        <v>0</v>
      </c>
      <c r="D40" s="10" t="str">
        <f>'INPUT LOG'!H40</f>
        <v/>
      </c>
      <c r="E40" s="10" t="str">
        <f>'INPUT LOG'!I40</f>
        <v/>
      </c>
      <c r="F40" s="10" t="str">
        <f>'INPUT LOG'!M40</f>
        <v/>
      </c>
      <c r="G40" s="10" t="str">
        <f>'INPUT LOG'!N40</f>
        <v/>
      </c>
      <c r="H40" s="9" t="s">
        <v>98</v>
      </c>
      <c r="I40" s="9" t="str">
        <f>'INPUT LOG'!O40</f>
        <v>INCOMPLETE</v>
      </c>
    </row>
    <row r="41" spans="1:9" x14ac:dyDescent="0.25">
      <c r="A41" s="9">
        <v>41</v>
      </c>
      <c r="B41" s="9">
        <f>'INPUT LOG'!A41</f>
        <v>0</v>
      </c>
      <c r="C41" s="9">
        <f>'INPUT LOG'!D41</f>
        <v>0</v>
      </c>
      <c r="D41" s="10" t="str">
        <f>'INPUT LOG'!H41</f>
        <v/>
      </c>
      <c r="E41" s="10" t="str">
        <f>'INPUT LOG'!I41</f>
        <v/>
      </c>
      <c r="F41" s="10" t="str">
        <f>'INPUT LOG'!M41</f>
        <v/>
      </c>
      <c r="G41" s="10" t="str">
        <f>'INPUT LOG'!N41</f>
        <v/>
      </c>
      <c r="H41" s="9" t="s">
        <v>98</v>
      </c>
      <c r="I41" s="9" t="str">
        <f>'INPUT LOG'!O41</f>
        <v>INCOMPLETE</v>
      </c>
    </row>
    <row r="42" spans="1:9" x14ac:dyDescent="0.25">
      <c r="A42" s="9">
        <v>42</v>
      </c>
      <c r="B42" s="9">
        <f>'INPUT LOG'!A42</f>
        <v>0</v>
      </c>
      <c r="C42" s="9">
        <f>'INPUT LOG'!D42</f>
        <v>0</v>
      </c>
      <c r="D42" s="10" t="str">
        <f>'INPUT LOG'!H42</f>
        <v/>
      </c>
      <c r="E42" s="10" t="str">
        <f>'INPUT LOG'!I42</f>
        <v/>
      </c>
      <c r="F42" s="10" t="str">
        <f>'INPUT LOG'!M42</f>
        <v/>
      </c>
      <c r="G42" s="10" t="str">
        <f>'INPUT LOG'!N42</f>
        <v/>
      </c>
      <c r="H42" s="9" t="s">
        <v>98</v>
      </c>
      <c r="I42" s="9" t="str">
        <f>'INPUT LOG'!O42</f>
        <v>INCOMPLETE</v>
      </c>
    </row>
    <row r="43" spans="1:9" x14ac:dyDescent="0.25">
      <c r="A43" s="9">
        <v>43</v>
      </c>
      <c r="B43" s="9">
        <f>'INPUT LOG'!A43</f>
        <v>0</v>
      </c>
      <c r="C43" s="9">
        <f>'INPUT LOG'!D43</f>
        <v>0</v>
      </c>
      <c r="D43" s="10" t="str">
        <f>'INPUT LOG'!H43</f>
        <v/>
      </c>
      <c r="E43" s="10" t="str">
        <f>'INPUT LOG'!I43</f>
        <v/>
      </c>
      <c r="F43" s="10" t="str">
        <f>'INPUT LOG'!M43</f>
        <v/>
      </c>
      <c r="G43" s="10" t="str">
        <f>'INPUT LOG'!N43</f>
        <v/>
      </c>
      <c r="H43" s="9" t="s">
        <v>98</v>
      </c>
      <c r="I43" s="9" t="str">
        <f>'INPUT LOG'!O43</f>
        <v>INCOMPLETE</v>
      </c>
    </row>
    <row r="44" spans="1:9" x14ac:dyDescent="0.25">
      <c r="A44" s="9">
        <v>44</v>
      </c>
      <c r="B44" s="9">
        <f>'INPUT LOG'!A44</f>
        <v>0</v>
      </c>
      <c r="C44" s="9">
        <f>'INPUT LOG'!D44</f>
        <v>0</v>
      </c>
      <c r="D44" s="10" t="str">
        <f>'INPUT LOG'!H44</f>
        <v/>
      </c>
      <c r="E44" s="10" t="str">
        <f>'INPUT LOG'!I44</f>
        <v/>
      </c>
      <c r="F44" s="10" t="str">
        <f>'INPUT LOG'!M44</f>
        <v/>
      </c>
      <c r="G44" s="10" t="str">
        <f>'INPUT LOG'!N44</f>
        <v/>
      </c>
      <c r="H44" s="9" t="s">
        <v>98</v>
      </c>
      <c r="I44" s="9" t="str">
        <f>'INPUT LOG'!O44</f>
        <v>INCOMPLETE</v>
      </c>
    </row>
    <row r="45" spans="1:9" x14ac:dyDescent="0.25">
      <c r="A45" s="9">
        <v>45</v>
      </c>
      <c r="B45" s="9">
        <f>'INPUT LOG'!A45</f>
        <v>0</v>
      </c>
      <c r="C45" s="9">
        <f>'INPUT LOG'!D45</f>
        <v>0</v>
      </c>
      <c r="D45" s="10" t="str">
        <f>'INPUT LOG'!H45</f>
        <v/>
      </c>
      <c r="E45" s="10" t="str">
        <f>'INPUT LOG'!I45</f>
        <v/>
      </c>
      <c r="F45" s="10" t="str">
        <f>'INPUT LOG'!M45</f>
        <v/>
      </c>
      <c r="G45" s="10" t="str">
        <f>'INPUT LOG'!N45</f>
        <v/>
      </c>
      <c r="H45" s="9" t="s">
        <v>98</v>
      </c>
      <c r="I45" s="9" t="str">
        <f>'INPUT LOG'!O45</f>
        <v>INCOMPLETE</v>
      </c>
    </row>
    <row r="46" spans="1:9" x14ac:dyDescent="0.25">
      <c r="A46" s="9">
        <v>46</v>
      </c>
      <c r="B46" s="9">
        <f>'INPUT LOG'!A46</f>
        <v>0</v>
      </c>
      <c r="C46" s="9">
        <f>'INPUT LOG'!D46</f>
        <v>0</v>
      </c>
      <c r="D46" s="10" t="str">
        <f>'INPUT LOG'!H46</f>
        <v/>
      </c>
      <c r="E46" s="10" t="str">
        <f>'INPUT LOG'!I46</f>
        <v/>
      </c>
      <c r="F46" s="10" t="str">
        <f>'INPUT LOG'!M46</f>
        <v/>
      </c>
      <c r="G46" s="10" t="str">
        <f>'INPUT LOG'!N46</f>
        <v/>
      </c>
      <c r="H46" s="9" t="s">
        <v>98</v>
      </c>
      <c r="I46" s="9" t="str">
        <f>'INPUT LOG'!O46</f>
        <v>INCOMPLETE</v>
      </c>
    </row>
    <row r="47" spans="1:9" x14ac:dyDescent="0.25">
      <c r="A47" s="9">
        <v>47</v>
      </c>
      <c r="B47" s="9">
        <f>'INPUT LOG'!A47</f>
        <v>0</v>
      </c>
      <c r="C47" s="9">
        <f>'INPUT LOG'!D47</f>
        <v>0</v>
      </c>
      <c r="D47" s="10" t="str">
        <f>'INPUT LOG'!H47</f>
        <v/>
      </c>
      <c r="E47" s="10" t="str">
        <f>'INPUT LOG'!I47</f>
        <v/>
      </c>
      <c r="F47" s="10" t="str">
        <f>'INPUT LOG'!M47</f>
        <v/>
      </c>
      <c r="G47" s="10" t="str">
        <f>'INPUT LOG'!N47</f>
        <v/>
      </c>
      <c r="H47" s="9" t="s">
        <v>98</v>
      </c>
      <c r="I47" s="9" t="str">
        <f>'INPUT LOG'!O47</f>
        <v>INCOMPLETE</v>
      </c>
    </row>
    <row r="48" spans="1:9" x14ac:dyDescent="0.25">
      <c r="A48" s="9">
        <v>48</v>
      </c>
      <c r="B48" s="9">
        <f>'INPUT LOG'!A48</f>
        <v>0</v>
      </c>
      <c r="C48" s="9">
        <f>'INPUT LOG'!D48</f>
        <v>0</v>
      </c>
      <c r="D48" s="10" t="str">
        <f>'INPUT LOG'!H48</f>
        <v/>
      </c>
      <c r="E48" s="10" t="str">
        <f>'INPUT LOG'!I48</f>
        <v/>
      </c>
      <c r="F48" s="10" t="str">
        <f>'INPUT LOG'!M48</f>
        <v/>
      </c>
      <c r="G48" s="10" t="str">
        <f>'INPUT LOG'!N48</f>
        <v/>
      </c>
      <c r="H48" s="9" t="s">
        <v>98</v>
      </c>
      <c r="I48" s="9" t="str">
        <f>'INPUT LOG'!O48</f>
        <v>INCOMPLETE</v>
      </c>
    </row>
    <row r="49" spans="1:9" x14ac:dyDescent="0.25">
      <c r="A49" s="9">
        <v>49</v>
      </c>
      <c r="B49" s="9">
        <f>'INPUT LOG'!A49</f>
        <v>0</v>
      </c>
      <c r="C49" s="9">
        <f>'INPUT LOG'!D49</f>
        <v>0</v>
      </c>
      <c r="D49" s="10" t="str">
        <f>'INPUT LOG'!H49</f>
        <v/>
      </c>
      <c r="E49" s="10" t="str">
        <f>'INPUT LOG'!I49</f>
        <v/>
      </c>
      <c r="F49" s="10" t="str">
        <f>'INPUT LOG'!M49</f>
        <v/>
      </c>
      <c r="G49" s="10" t="str">
        <f>'INPUT LOG'!N49</f>
        <v/>
      </c>
      <c r="H49" s="9" t="s">
        <v>98</v>
      </c>
      <c r="I49" s="9" t="str">
        <f>'INPUT LOG'!O49</f>
        <v>INCOMPLETE</v>
      </c>
    </row>
    <row r="50" spans="1:9" x14ac:dyDescent="0.25">
      <c r="A50" s="9">
        <v>50</v>
      </c>
      <c r="B50" s="9">
        <f>'INPUT LOG'!A50</f>
        <v>0</v>
      </c>
      <c r="C50" s="9">
        <f>'INPUT LOG'!D50</f>
        <v>0</v>
      </c>
      <c r="D50" s="10" t="str">
        <f>'INPUT LOG'!H50</f>
        <v/>
      </c>
      <c r="E50" s="10" t="str">
        <f>'INPUT LOG'!I50</f>
        <v/>
      </c>
      <c r="F50" s="10" t="str">
        <f>'INPUT LOG'!M50</f>
        <v/>
      </c>
      <c r="G50" s="10" t="str">
        <f>'INPUT LOG'!N50</f>
        <v/>
      </c>
      <c r="H50" s="9" t="s">
        <v>98</v>
      </c>
      <c r="I50" s="9" t="str">
        <f>'INPUT LOG'!O50</f>
        <v>INCOMPLETE</v>
      </c>
    </row>
    <row r="51" spans="1:9" x14ac:dyDescent="0.25">
      <c r="A51" s="9">
        <v>51</v>
      </c>
      <c r="B51" s="9">
        <f>'INPUT LOG'!A51</f>
        <v>0</v>
      </c>
      <c r="C51" s="9">
        <f>'INPUT LOG'!D51</f>
        <v>0</v>
      </c>
      <c r="D51" s="10" t="str">
        <f>'INPUT LOG'!H51</f>
        <v/>
      </c>
      <c r="E51" s="10" t="str">
        <f>'INPUT LOG'!I51</f>
        <v/>
      </c>
      <c r="F51" s="10" t="str">
        <f>'INPUT LOG'!M51</f>
        <v/>
      </c>
      <c r="G51" s="10" t="str">
        <f>'INPUT LOG'!N51</f>
        <v/>
      </c>
      <c r="H51" s="9" t="s">
        <v>98</v>
      </c>
      <c r="I51" s="9" t="str">
        <f>'INPUT LOG'!O51</f>
        <v>INCOMPLETE</v>
      </c>
    </row>
    <row r="52" spans="1:9" x14ac:dyDescent="0.25">
      <c r="A52" s="9">
        <v>52</v>
      </c>
      <c r="B52" s="9">
        <f>'INPUT LOG'!A52</f>
        <v>0</v>
      </c>
      <c r="C52" s="9">
        <f>'INPUT LOG'!D52</f>
        <v>0</v>
      </c>
      <c r="D52" s="10" t="str">
        <f>'INPUT LOG'!H52</f>
        <v/>
      </c>
      <c r="E52" s="10" t="str">
        <f>'INPUT LOG'!I52</f>
        <v/>
      </c>
      <c r="F52" s="10" t="str">
        <f>'INPUT LOG'!M52</f>
        <v/>
      </c>
      <c r="G52" s="10" t="str">
        <f>'INPUT LOG'!N52</f>
        <v/>
      </c>
      <c r="H52" s="9" t="s">
        <v>98</v>
      </c>
      <c r="I52" s="9" t="str">
        <f>'INPUT LOG'!O52</f>
        <v>INCOMPLETE</v>
      </c>
    </row>
    <row r="53" spans="1:9" x14ac:dyDescent="0.25">
      <c r="A53" s="9">
        <v>53</v>
      </c>
      <c r="B53" s="9">
        <f>'INPUT LOG'!A53</f>
        <v>0</v>
      </c>
      <c r="C53" s="9">
        <f>'INPUT LOG'!D53</f>
        <v>0</v>
      </c>
      <c r="D53" s="10" t="str">
        <f>'INPUT LOG'!H53</f>
        <v/>
      </c>
      <c r="E53" s="10" t="str">
        <f>'INPUT LOG'!I53</f>
        <v/>
      </c>
      <c r="F53" s="10" t="str">
        <f>'INPUT LOG'!M53</f>
        <v/>
      </c>
      <c r="G53" s="10" t="str">
        <f>'INPUT LOG'!N53</f>
        <v/>
      </c>
      <c r="H53" s="9" t="s">
        <v>98</v>
      </c>
      <c r="I53" s="9" t="str">
        <f>'INPUT LOG'!O53</f>
        <v>INCOMPLETE</v>
      </c>
    </row>
    <row r="54" spans="1:9" x14ac:dyDescent="0.25">
      <c r="A54" s="9">
        <v>54</v>
      </c>
      <c r="B54" s="9">
        <f>'INPUT LOG'!A54</f>
        <v>0</v>
      </c>
      <c r="C54" s="9">
        <f>'INPUT LOG'!D54</f>
        <v>0</v>
      </c>
      <c r="D54" s="10" t="str">
        <f>'INPUT LOG'!H54</f>
        <v/>
      </c>
      <c r="E54" s="10" t="str">
        <f>'INPUT LOG'!I54</f>
        <v/>
      </c>
      <c r="F54" s="10" t="str">
        <f>'INPUT LOG'!M54</f>
        <v/>
      </c>
      <c r="G54" s="10" t="str">
        <f>'INPUT LOG'!N54</f>
        <v/>
      </c>
      <c r="H54" s="9" t="s">
        <v>98</v>
      </c>
      <c r="I54" s="9" t="str">
        <f>'INPUT LOG'!O54</f>
        <v>INCOMPLETE</v>
      </c>
    </row>
  </sheetData>
  <autoFilter ref="A4:I54" xr:uid="{00000000-0009-0000-0000-000003000000}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showGridLines="0" workbookViewId="0">
      <pane ySplit="10" topLeftCell="A11" activePane="bottomLeft" state="frozen"/>
      <selection pane="bottomLeft"/>
    </sheetView>
  </sheetViews>
  <sheetFormatPr defaultRowHeight="15" x14ac:dyDescent="0.25"/>
  <cols>
    <col min="1" max="1" width="17" customWidth="1"/>
    <col min="2" max="2" width="14" customWidth="1"/>
    <col min="3" max="3" width="20" customWidth="1"/>
    <col min="4" max="4" width="14" customWidth="1"/>
    <col min="5" max="5" width="29" customWidth="1"/>
    <col min="6" max="7" width="13" customWidth="1"/>
    <col min="8" max="8" width="15" customWidth="1"/>
    <col min="9" max="9" width="3" customWidth="1"/>
    <col min="10" max="11" width="16" customWidth="1"/>
  </cols>
  <sheetData>
    <row r="1" spans="1:11" ht="32.1" customHeight="1" x14ac:dyDescent="0.25">
      <c r="A1" s="15" t="s">
        <v>99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27.95" customHeight="1" x14ac:dyDescent="0.25">
      <c r="A2" s="26" t="s">
        <v>100</v>
      </c>
      <c r="B2" s="16"/>
      <c r="C2" s="16"/>
      <c r="D2" s="16"/>
      <c r="E2" s="16"/>
      <c r="F2" s="16"/>
      <c r="G2" s="16"/>
      <c r="H2" s="16"/>
      <c r="I2" s="16"/>
      <c r="J2" s="16"/>
    </row>
    <row r="4" spans="1:11" x14ac:dyDescent="0.25">
      <c r="A4" s="28" t="s">
        <v>101</v>
      </c>
      <c r="B4" s="16"/>
      <c r="D4" s="34" t="s">
        <v>102</v>
      </c>
      <c r="E4" s="16"/>
      <c r="G4" s="29" t="s">
        <v>103</v>
      </c>
      <c r="H4" s="16"/>
      <c r="J4" s="30" t="s">
        <v>104</v>
      </c>
      <c r="K4" s="16"/>
    </row>
    <row r="5" spans="1:11" x14ac:dyDescent="0.25">
      <c r="A5" s="32">
        <f>COUNTIF('INPUT LOG'!$O$5:$O$54,"PASS")+COUNTIF('INPUT LOG'!$O$5:$O$54,"REVIEW")</f>
        <v>5</v>
      </c>
      <c r="B5" s="16"/>
      <c r="D5" s="31">
        <f>COUNTIF('INPUT LOG'!$O$5:$O$54,"PASS")</f>
        <v>3</v>
      </c>
      <c r="E5" s="16"/>
      <c r="G5" s="33">
        <f>COUNTIF('INPUT LOG'!$O$5:$O$54,"REVIEW")</f>
        <v>2</v>
      </c>
      <c r="H5" s="16"/>
      <c r="J5" s="35">
        <f>COUNTIF('INPUT LOG'!$O$5:$O$54,"INCOMPLETE")-COUNTBLANK('INPUT LOG'!$A$5:$A$54)</f>
        <v>0</v>
      </c>
      <c r="K5" s="16"/>
    </row>
    <row r="6" spans="1:11" x14ac:dyDescent="0.25">
      <c r="A6" s="16"/>
      <c r="B6" s="16"/>
      <c r="D6" s="16"/>
      <c r="E6" s="16"/>
      <c r="G6" s="16"/>
      <c r="H6" s="16"/>
      <c r="J6" s="16"/>
      <c r="K6" s="16"/>
    </row>
    <row r="9" spans="1:11" x14ac:dyDescent="0.25">
      <c r="A9" s="1" t="s">
        <v>105</v>
      </c>
    </row>
    <row r="10" spans="1:11" x14ac:dyDescent="0.25">
      <c r="A10" s="6" t="s">
        <v>76</v>
      </c>
      <c r="B10" s="6" t="s">
        <v>77</v>
      </c>
      <c r="C10" s="6" t="s">
        <v>31</v>
      </c>
      <c r="D10" s="6" t="s">
        <v>23</v>
      </c>
      <c r="E10" s="6" t="s">
        <v>24</v>
      </c>
      <c r="F10" s="6" t="s">
        <v>81</v>
      </c>
      <c r="G10" s="6" t="s">
        <v>82</v>
      </c>
      <c r="H10" s="6" t="s">
        <v>83</v>
      </c>
    </row>
    <row r="11" spans="1:11" x14ac:dyDescent="0.25">
      <c r="A11" s="12" t="str">
        <f>IF('INPUT LOG'!$A$5="","",'INPUT LOG'!$A$5)</f>
        <v>WO-2401</v>
      </c>
      <c r="B11" s="13">
        <f>IF('INPUT LOG'!$A$5="","",'INPUT LOG'!$B$5)</f>
        <v>46286</v>
      </c>
      <c r="C11" s="12" t="str">
        <f>IF('INPUT LOG'!$A$5="","",'INPUT LOG'!$C$5)</f>
        <v>Ayu Pratama</v>
      </c>
      <c r="D11" s="12" t="str">
        <f>IF('INPUT LOG'!$A$5="","",'INPUT LOG'!$D$5)</f>
        <v>AST-001</v>
      </c>
      <c r="E11" s="12" t="str">
        <f>IF('INPUT LOG'!$A$5="","",'INPUT LOG'!$E$5)</f>
        <v>Pressure Gauge 0 to 10 bar</v>
      </c>
      <c r="F11" s="14">
        <f>IF('INPUT LOG'!$A$5="","",'INPUT LOG'!$M$5)</f>
        <v>5.0199999999999996</v>
      </c>
      <c r="G11" s="14">
        <f>IF('INPUT LOG'!$A$5="","",'INPUT LOG'!$N$5)</f>
        <v>1.9999999999999574E-2</v>
      </c>
      <c r="H11" s="12" t="str">
        <f>IF('INPUT LOG'!$A$5="","",'INPUT LOG'!$O$5)</f>
        <v>PASS</v>
      </c>
    </row>
    <row r="12" spans="1:11" x14ac:dyDescent="0.25">
      <c r="A12" s="12" t="str">
        <f>IF('INPUT LOG'!$A$6="","",'INPUT LOG'!$A$6)</f>
        <v>WO-2402</v>
      </c>
      <c r="B12" s="13">
        <f>IF('INPUT LOG'!$A$6="","",'INPUT LOG'!$B$6)</f>
        <v>46287</v>
      </c>
      <c r="C12" s="12" t="str">
        <f>IF('INPUT LOG'!$A$6="","",'INPUT LOG'!$C$6)</f>
        <v>Bima Santoso</v>
      </c>
      <c r="D12" s="12" t="str">
        <f>IF('INPUT LOG'!$A$6="","",'INPUT LOG'!$D$6)</f>
        <v>AST-002</v>
      </c>
      <c r="E12" s="12" t="str">
        <f>IF('INPUT LOG'!$A$6="","",'INPUT LOG'!$E$6)</f>
        <v>Temperature Sensor</v>
      </c>
      <c r="F12" s="14">
        <f>IF('INPUT LOG'!$A$6="","",'INPUT LOG'!$M$6)</f>
        <v>100.2</v>
      </c>
      <c r="G12" s="14">
        <f>IF('INPUT LOG'!$A$6="","",'INPUT LOG'!$N$6)</f>
        <v>0.20000000000000284</v>
      </c>
      <c r="H12" s="12" t="str">
        <f>IF('INPUT LOG'!$A$6="","",'INPUT LOG'!$O$6)</f>
        <v>PASS</v>
      </c>
    </row>
    <row r="13" spans="1:11" x14ac:dyDescent="0.25">
      <c r="A13" s="12" t="str">
        <f>IF('INPUT LOG'!$A$7="","",'INPUT LOG'!$A$7)</f>
        <v>WO-2403</v>
      </c>
      <c r="B13" s="13">
        <f>IF('INPUT LOG'!$A$7="","",'INPUT LOG'!$B$7)</f>
        <v>46288</v>
      </c>
      <c r="C13" s="12" t="str">
        <f>IF('INPUT LOG'!$A$7="","",'INPUT LOG'!$C$7)</f>
        <v>Citra Lestari</v>
      </c>
      <c r="D13" s="12" t="str">
        <f>IF('INPUT LOG'!$A$7="","",'INPUT LOG'!$D$7)</f>
        <v>AST-003</v>
      </c>
      <c r="E13" s="12" t="str">
        <f>IF('INPUT LOG'!$A$7="","",'INPUT LOG'!$E$7)</f>
        <v>Flow Meter</v>
      </c>
      <c r="F13" s="14">
        <f>IF('INPUT LOG'!$A$7="","",'INPUT LOG'!$M$7)</f>
        <v>51.1</v>
      </c>
      <c r="G13" s="14">
        <f>IF('INPUT LOG'!$A$7="","",'INPUT LOG'!$N$7)</f>
        <v>1.1000000000000014</v>
      </c>
      <c r="H13" s="12" t="str">
        <f>IF('INPUT LOG'!$A$7="","",'INPUT LOG'!$O$7)</f>
        <v>REVIEW</v>
      </c>
    </row>
    <row r="14" spans="1:11" x14ac:dyDescent="0.25">
      <c r="A14" s="12" t="str">
        <f>IF('INPUT LOG'!$A$8="","",'INPUT LOG'!$A$8)</f>
        <v>WO-2404</v>
      </c>
      <c r="B14" s="13">
        <f>IF('INPUT LOG'!$A$8="","",'INPUT LOG'!$B$8)</f>
        <v>46289</v>
      </c>
      <c r="C14" s="12" t="str">
        <f>IF('INPUT LOG'!$A$8="","",'INPUT LOG'!$C$8)</f>
        <v>Danu Wijaya</v>
      </c>
      <c r="D14" s="12" t="str">
        <f>IF('INPUT LOG'!$A$8="","",'INPUT LOG'!$D$8)</f>
        <v>AST-004</v>
      </c>
      <c r="E14" s="12" t="str">
        <f>IF('INPUT LOG'!$A$8="","",'INPUT LOG'!$E$8)</f>
        <v>Digital Caliper</v>
      </c>
      <c r="F14" s="14">
        <f>IF('INPUT LOG'!$A$8="","",'INPUT LOG'!$M$8)</f>
        <v>25.013333333333335</v>
      </c>
      <c r="G14" s="14">
        <f>IF('INPUT LOG'!$A$8="","",'INPUT LOG'!$N$8)</f>
        <v>1.3333333333335418E-2</v>
      </c>
      <c r="H14" s="12" t="str">
        <f>IF('INPUT LOG'!$A$8="","",'INPUT LOG'!$O$8)</f>
        <v>PASS</v>
      </c>
    </row>
    <row r="15" spans="1:11" x14ac:dyDescent="0.25">
      <c r="A15" s="12" t="str">
        <f>IF('INPUT LOG'!$A$9="","",'INPUT LOG'!$A$9)</f>
        <v>WO-2405</v>
      </c>
      <c r="B15" s="13">
        <f>IF('INPUT LOG'!$A$9="","",'INPUT LOG'!$B$9)</f>
        <v>46290</v>
      </c>
      <c r="C15" s="12" t="str">
        <f>IF('INPUT LOG'!$A$9="","",'INPUT LOG'!$C$9)</f>
        <v>Ayu Pratama</v>
      </c>
      <c r="D15" s="12" t="str">
        <f>IF('INPUT LOG'!$A$9="","",'INPUT LOG'!$D$9)</f>
        <v>AST-006</v>
      </c>
      <c r="E15" s="12" t="str">
        <f>IF('INPUT LOG'!$A$9="","",'INPUT LOG'!$E$9)</f>
        <v>Weighing Scale</v>
      </c>
      <c r="F15" s="14">
        <f>IF('INPUT LOG'!$A$9="","",'INPUT LOG'!$M$9)</f>
        <v>10.033333333333333</v>
      </c>
      <c r="G15" s="14">
        <f>IF('INPUT LOG'!$A$9="","",'INPUT LOG'!$N$9)</f>
        <v>3.3333333333333215E-2</v>
      </c>
      <c r="H15" s="12" t="str">
        <f>IF('INPUT LOG'!$A$9="","",'INPUT LOG'!$O$9)</f>
        <v>REVIEW</v>
      </c>
    </row>
    <row r="16" spans="1:11" x14ac:dyDescent="0.25">
      <c r="A16" s="12" t="str">
        <f>IF('INPUT LOG'!$A$10="","",'INPUT LOG'!$A$10)</f>
        <v/>
      </c>
      <c r="B16" s="13" t="str">
        <f>IF('INPUT LOG'!$A$10="","",'INPUT LOG'!$B$10)</f>
        <v/>
      </c>
      <c r="C16" s="12" t="str">
        <f>IF('INPUT LOG'!$A$10="","",'INPUT LOG'!$C$10)</f>
        <v/>
      </c>
      <c r="D16" s="12" t="str">
        <f>IF('INPUT LOG'!$A$10="","",'INPUT LOG'!$D$10)</f>
        <v/>
      </c>
      <c r="E16" s="12" t="str">
        <f>IF('INPUT LOG'!$A$10="","",'INPUT LOG'!$E$10)</f>
        <v/>
      </c>
      <c r="F16" s="14" t="str">
        <f>IF('INPUT LOG'!$A$10="","",'INPUT LOG'!$M$10)</f>
        <v/>
      </c>
      <c r="G16" s="14" t="str">
        <f>IF('INPUT LOG'!$A$10="","",'INPUT LOG'!$N$10)</f>
        <v/>
      </c>
      <c r="H16" s="12" t="str">
        <f>IF('INPUT LOG'!$A$10="","",'INPUT LOG'!$O$10)</f>
        <v/>
      </c>
    </row>
    <row r="17" spans="1:8" x14ac:dyDescent="0.25">
      <c r="A17" s="12" t="str">
        <f>IF('INPUT LOG'!$A$11="","",'INPUT LOG'!$A$11)</f>
        <v/>
      </c>
      <c r="B17" s="13" t="str">
        <f>IF('INPUT LOG'!$A$11="","",'INPUT LOG'!$B$11)</f>
        <v/>
      </c>
      <c r="C17" s="12" t="str">
        <f>IF('INPUT LOG'!$A$11="","",'INPUT LOG'!$C$11)</f>
        <v/>
      </c>
      <c r="D17" s="12" t="str">
        <f>IF('INPUT LOG'!$A$11="","",'INPUT LOG'!$D$11)</f>
        <v/>
      </c>
      <c r="E17" s="12" t="str">
        <f>IF('INPUT LOG'!$A$11="","",'INPUT LOG'!$E$11)</f>
        <v/>
      </c>
      <c r="F17" s="14" t="str">
        <f>IF('INPUT LOG'!$A$11="","",'INPUT LOG'!$M$11)</f>
        <v/>
      </c>
      <c r="G17" s="14" t="str">
        <f>IF('INPUT LOG'!$A$11="","",'INPUT LOG'!$N$11)</f>
        <v/>
      </c>
      <c r="H17" s="12" t="str">
        <f>IF('INPUT LOG'!$A$11="","",'INPUT LOG'!$O$11)</f>
        <v/>
      </c>
    </row>
    <row r="18" spans="1:8" x14ac:dyDescent="0.25">
      <c r="A18" s="12" t="str">
        <f>IF('INPUT LOG'!$A$12="","",'INPUT LOG'!$A$12)</f>
        <v/>
      </c>
      <c r="B18" s="13" t="str">
        <f>IF('INPUT LOG'!$A$12="","",'INPUT LOG'!$B$12)</f>
        <v/>
      </c>
      <c r="C18" s="12" t="str">
        <f>IF('INPUT LOG'!$A$12="","",'INPUT LOG'!$C$12)</f>
        <v/>
      </c>
      <c r="D18" s="12" t="str">
        <f>IF('INPUT LOG'!$A$12="","",'INPUT LOG'!$D$12)</f>
        <v/>
      </c>
      <c r="E18" s="12" t="str">
        <f>IF('INPUT LOG'!$A$12="","",'INPUT LOG'!$E$12)</f>
        <v/>
      </c>
      <c r="F18" s="14" t="str">
        <f>IF('INPUT LOG'!$A$12="","",'INPUT LOG'!$M$12)</f>
        <v/>
      </c>
      <c r="G18" s="14" t="str">
        <f>IF('INPUT LOG'!$A$12="","",'INPUT LOG'!$N$12)</f>
        <v/>
      </c>
      <c r="H18" s="12" t="str">
        <f>IF('INPUT LOG'!$A$12="","",'INPUT LOG'!$O$12)</f>
        <v/>
      </c>
    </row>
    <row r="19" spans="1:8" x14ac:dyDescent="0.25">
      <c r="A19" s="12" t="str">
        <f>IF('INPUT LOG'!$A$13="","",'INPUT LOG'!$A$13)</f>
        <v/>
      </c>
      <c r="B19" s="13" t="str">
        <f>IF('INPUT LOG'!$A$13="","",'INPUT LOG'!$B$13)</f>
        <v/>
      </c>
      <c r="C19" s="12" t="str">
        <f>IF('INPUT LOG'!$A$13="","",'INPUT LOG'!$C$13)</f>
        <v/>
      </c>
      <c r="D19" s="12" t="str">
        <f>IF('INPUT LOG'!$A$13="","",'INPUT LOG'!$D$13)</f>
        <v/>
      </c>
      <c r="E19" s="12" t="str">
        <f>IF('INPUT LOG'!$A$13="","",'INPUT LOG'!$E$13)</f>
        <v/>
      </c>
      <c r="F19" s="14" t="str">
        <f>IF('INPUT LOG'!$A$13="","",'INPUT LOG'!$M$13)</f>
        <v/>
      </c>
      <c r="G19" s="14" t="str">
        <f>IF('INPUT LOG'!$A$13="","",'INPUT LOG'!$N$13)</f>
        <v/>
      </c>
      <c r="H19" s="12" t="str">
        <f>IF('INPUT LOG'!$A$13="","",'INPUT LOG'!$O$13)</f>
        <v/>
      </c>
    </row>
    <row r="20" spans="1:8" x14ac:dyDescent="0.25">
      <c r="A20" s="12" t="str">
        <f>IF('INPUT LOG'!$A$14="","",'INPUT LOG'!$A$14)</f>
        <v/>
      </c>
      <c r="B20" s="13" t="str">
        <f>IF('INPUT LOG'!$A$14="","",'INPUT LOG'!$B$14)</f>
        <v/>
      </c>
      <c r="C20" s="12" t="str">
        <f>IF('INPUT LOG'!$A$14="","",'INPUT LOG'!$C$14)</f>
        <v/>
      </c>
      <c r="D20" s="12" t="str">
        <f>IF('INPUT LOG'!$A$14="","",'INPUT LOG'!$D$14)</f>
        <v/>
      </c>
      <c r="E20" s="12" t="str">
        <f>IF('INPUT LOG'!$A$14="","",'INPUT LOG'!$E$14)</f>
        <v/>
      </c>
      <c r="F20" s="14" t="str">
        <f>IF('INPUT LOG'!$A$14="","",'INPUT LOG'!$M$14)</f>
        <v/>
      </c>
      <c r="G20" s="14" t="str">
        <f>IF('INPUT LOG'!$A$14="","",'INPUT LOG'!$N$14)</f>
        <v/>
      </c>
      <c r="H20" s="12" t="str">
        <f>IF('INPUT LOG'!$A$14="","",'INPUT LOG'!$O$14)</f>
        <v/>
      </c>
    </row>
    <row r="21" spans="1:8" x14ac:dyDescent="0.25">
      <c r="A21" s="12" t="str">
        <f>IF('INPUT LOG'!$A$15="","",'INPUT LOG'!$A$15)</f>
        <v/>
      </c>
      <c r="B21" s="13" t="str">
        <f>IF('INPUT LOG'!$A$15="","",'INPUT LOG'!$B$15)</f>
        <v/>
      </c>
      <c r="C21" s="12" t="str">
        <f>IF('INPUT LOG'!$A$15="","",'INPUT LOG'!$C$15)</f>
        <v/>
      </c>
      <c r="D21" s="12" t="str">
        <f>IF('INPUT LOG'!$A$15="","",'INPUT LOG'!$D$15)</f>
        <v/>
      </c>
      <c r="E21" s="12" t="str">
        <f>IF('INPUT LOG'!$A$15="","",'INPUT LOG'!$E$15)</f>
        <v/>
      </c>
      <c r="F21" s="14" t="str">
        <f>IF('INPUT LOG'!$A$15="","",'INPUT LOG'!$M$15)</f>
        <v/>
      </c>
      <c r="G21" s="14" t="str">
        <f>IF('INPUT LOG'!$A$15="","",'INPUT LOG'!$N$15)</f>
        <v/>
      </c>
      <c r="H21" s="12" t="str">
        <f>IF('INPUT LOG'!$A$15="","",'INPUT LOG'!$O$15)</f>
        <v/>
      </c>
    </row>
    <row r="22" spans="1:8" x14ac:dyDescent="0.25">
      <c r="A22" s="12" t="str">
        <f>IF('INPUT LOG'!$A$16="","",'INPUT LOG'!$A$16)</f>
        <v/>
      </c>
      <c r="B22" s="13" t="str">
        <f>IF('INPUT LOG'!$A$16="","",'INPUT LOG'!$B$16)</f>
        <v/>
      </c>
      <c r="C22" s="12" t="str">
        <f>IF('INPUT LOG'!$A$16="","",'INPUT LOG'!$C$16)</f>
        <v/>
      </c>
      <c r="D22" s="12" t="str">
        <f>IF('INPUT LOG'!$A$16="","",'INPUT LOG'!$D$16)</f>
        <v/>
      </c>
      <c r="E22" s="12" t="str">
        <f>IF('INPUT LOG'!$A$16="","",'INPUT LOG'!$E$16)</f>
        <v/>
      </c>
      <c r="F22" s="14" t="str">
        <f>IF('INPUT LOG'!$A$16="","",'INPUT LOG'!$M$16)</f>
        <v/>
      </c>
      <c r="G22" s="14" t="str">
        <f>IF('INPUT LOG'!$A$16="","",'INPUT LOG'!$N$16)</f>
        <v/>
      </c>
      <c r="H22" s="12" t="str">
        <f>IF('INPUT LOG'!$A$16="","",'INPUT LOG'!$O$16)</f>
        <v/>
      </c>
    </row>
    <row r="23" spans="1:8" x14ac:dyDescent="0.25">
      <c r="A23" s="12" t="str">
        <f>IF('INPUT LOG'!$A$17="","",'INPUT LOG'!$A$17)</f>
        <v/>
      </c>
      <c r="B23" s="13" t="str">
        <f>IF('INPUT LOG'!$A$17="","",'INPUT LOG'!$B$17)</f>
        <v/>
      </c>
      <c r="C23" s="12" t="str">
        <f>IF('INPUT LOG'!$A$17="","",'INPUT LOG'!$C$17)</f>
        <v/>
      </c>
      <c r="D23" s="12" t="str">
        <f>IF('INPUT LOG'!$A$17="","",'INPUT LOG'!$D$17)</f>
        <v/>
      </c>
      <c r="E23" s="12" t="str">
        <f>IF('INPUT LOG'!$A$17="","",'INPUT LOG'!$E$17)</f>
        <v/>
      </c>
      <c r="F23" s="14" t="str">
        <f>IF('INPUT LOG'!$A$17="","",'INPUT LOG'!$M$17)</f>
        <v/>
      </c>
      <c r="G23" s="14" t="str">
        <f>IF('INPUT LOG'!$A$17="","",'INPUT LOG'!$N$17)</f>
        <v/>
      </c>
      <c r="H23" s="12" t="str">
        <f>IF('INPUT LOG'!$A$17="","",'INPUT LOG'!$O$17)</f>
        <v/>
      </c>
    </row>
    <row r="24" spans="1:8" x14ac:dyDescent="0.25">
      <c r="A24" s="12" t="str">
        <f>IF('INPUT LOG'!$A$18="","",'INPUT LOG'!$A$18)</f>
        <v/>
      </c>
      <c r="B24" s="13" t="str">
        <f>IF('INPUT LOG'!$A$18="","",'INPUT LOG'!$B$18)</f>
        <v/>
      </c>
      <c r="C24" s="12" t="str">
        <f>IF('INPUT LOG'!$A$18="","",'INPUT LOG'!$C$18)</f>
        <v/>
      </c>
      <c r="D24" s="12" t="str">
        <f>IF('INPUT LOG'!$A$18="","",'INPUT LOG'!$D$18)</f>
        <v/>
      </c>
      <c r="E24" s="12" t="str">
        <f>IF('INPUT LOG'!$A$18="","",'INPUT LOG'!$E$18)</f>
        <v/>
      </c>
      <c r="F24" s="14" t="str">
        <f>IF('INPUT LOG'!$A$18="","",'INPUT LOG'!$M$18)</f>
        <v/>
      </c>
      <c r="G24" s="14" t="str">
        <f>IF('INPUT LOG'!$A$18="","",'INPUT LOG'!$N$18)</f>
        <v/>
      </c>
      <c r="H24" s="12" t="str">
        <f>IF('INPUT LOG'!$A$18="","",'INPUT LOG'!$O$18)</f>
        <v/>
      </c>
    </row>
    <row r="25" spans="1:8" x14ac:dyDescent="0.25">
      <c r="A25" s="12" t="str">
        <f>IF('INPUT LOG'!$A$19="","",'INPUT LOG'!$A$19)</f>
        <v/>
      </c>
      <c r="B25" s="13" t="str">
        <f>IF('INPUT LOG'!$A$19="","",'INPUT LOG'!$B$19)</f>
        <v/>
      </c>
      <c r="C25" s="12" t="str">
        <f>IF('INPUT LOG'!$A$19="","",'INPUT LOG'!$C$19)</f>
        <v/>
      </c>
      <c r="D25" s="12" t="str">
        <f>IF('INPUT LOG'!$A$19="","",'INPUT LOG'!$D$19)</f>
        <v/>
      </c>
      <c r="E25" s="12" t="str">
        <f>IF('INPUT LOG'!$A$19="","",'INPUT LOG'!$E$19)</f>
        <v/>
      </c>
      <c r="F25" s="14" t="str">
        <f>IF('INPUT LOG'!$A$19="","",'INPUT LOG'!$M$19)</f>
        <v/>
      </c>
      <c r="G25" s="14" t="str">
        <f>IF('INPUT LOG'!$A$19="","",'INPUT LOG'!$N$19)</f>
        <v/>
      </c>
      <c r="H25" s="12" t="str">
        <f>IF('INPUT LOG'!$A$19="","",'INPUT LOG'!$O$19)</f>
        <v/>
      </c>
    </row>
    <row r="26" spans="1:8" x14ac:dyDescent="0.25">
      <c r="A26" s="12" t="str">
        <f>IF('INPUT LOG'!$A$20="","",'INPUT LOG'!$A$20)</f>
        <v/>
      </c>
      <c r="B26" s="13" t="str">
        <f>IF('INPUT LOG'!$A$20="","",'INPUT LOG'!$B$20)</f>
        <v/>
      </c>
      <c r="C26" s="12" t="str">
        <f>IF('INPUT LOG'!$A$20="","",'INPUT LOG'!$C$20)</f>
        <v/>
      </c>
      <c r="D26" s="12" t="str">
        <f>IF('INPUT LOG'!$A$20="","",'INPUT LOG'!$D$20)</f>
        <v/>
      </c>
      <c r="E26" s="12" t="str">
        <f>IF('INPUT LOG'!$A$20="","",'INPUT LOG'!$E$20)</f>
        <v/>
      </c>
      <c r="F26" s="14" t="str">
        <f>IF('INPUT LOG'!$A$20="","",'INPUT LOG'!$M$20)</f>
        <v/>
      </c>
      <c r="G26" s="14" t="str">
        <f>IF('INPUT LOG'!$A$20="","",'INPUT LOG'!$N$20)</f>
        <v/>
      </c>
      <c r="H26" s="12" t="str">
        <f>IF('INPUT LOG'!$A$20="","",'INPUT LOG'!$O$20)</f>
        <v/>
      </c>
    </row>
    <row r="27" spans="1:8" x14ac:dyDescent="0.25">
      <c r="A27" s="12" t="str">
        <f>IF('INPUT LOG'!$A$21="","",'INPUT LOG'!$A$21)</f>
        <v/>
      </c>
      <c r="B27" s="13" t="str">
        <f>IF('INPUT LOG'!$A$21="","",'INPUT LOG'!$B$21)</f>
        <v/>
      </c>
      <c r="C27" s="12" t="str">
        <f>IF('INPUT LOG'!$A$21="","",'INPUT LOG'!$C$21)</f>
        <v/>
      </c>
      <c r="D27" s="12" t="str">
        <f>IF('INPUT LOG'!$A$21="","",'INPUT LOG'!$D$21)</f>
        <v/>
      </c>
      <c r="E27" s="12" t="str">
        <f>IF('INPUT LOG'!$A$21="","",'INPUT LOG'!$E$21)</f>
        <v/>
      </c>
      <c r="F27" s="14" t="str">
        <f>IF('INPUT LOG'!$A$21="","",'INPUT LOG'!$M$21)</f>
        <v/>
      </c>
      <c r="G27" s="14" t="str">
        <f>IF('INPUT LOG'!$A$21="","",'INPUT LOG'!$N$21)</f>
        <v/>
      </c>
      <c r="H27" s="12" t="str">
        <f>IF('INPUT LOG'!$A$21="","",'INPUT LOG'!$O$21)</f>
        <v/>
      </c>
    </row>
    <row r="28" spans="1:8" x14ac:dyDescent="0.25">
      <c r="A28" s="12" t="str">
        <f>IF('INPUT LOG'!$A$22="","",'INPUT LOG'!$A$22)</f>
        <v/>
      </c>
      <c r="B28" s="13" t="str">
        <f>IF('INPUT LOG'!$A$22="","",'INPUT LOG'!$B$22)</f>
        <v/>
      </c>
      <c r="C28" s="12" t="str">
        <f>IF('INPUT LOG'!$A$22="","",'INPUT LOG'!$C$22)</f>
        <v/>
      </c>
      <c r="D28" s="12" t="str">
        <f>IF('INPUT LOG'!$A$22="","",'INPUT LOG'!$D$22)</f>
        <v/>
      </c>
      <c r="E28" s="12" t="str">
        <f>IF('INPUT LOG'!$A$22="","",'INPUT LOG'!$E$22)</f>
        <v/>
      </c>
      <c r="F28" s="14" t="str">
        <f>IF('INPUT LOG'!$A$22="","",'INPUT LOG'!$M$22)</f>
        <v/>
      </c>
      <c r="G28" s="14" t="str">
        <f>IF('INPUT LOG'!$A$22="","",'INPUT LOG'!$N$22)</f>
        <v/>
      </c>
      <c r="H28" s="12" t="str">
        <f>IF('INPUT LOG'!$A$22="","",'INPUT LOG'!$O$22)</f>
        <v/>
      </c>
    </row>
    <row r="29" spans="1:8" x14ac:dyDescent="0.25">
      <c r="A29" s="12" t="str">
        <f>IF('INPUT LOG'!$A$23="","",'INPUT LOG'!$A$23)</f>
        <v/>
      </c>
      <c r="B29" s="13" t="str">
        <f>IF('INPUT LOG'!$A$23="","",'INPUT LOG'!$B$23)</f>
        <v/>
      </c>
      <c r="C29" s="12" t="str">
        <f>IF('INPUT LOG'!$A$23="","",'INPUT LOG'!$C$23)</f>
        <v/>
      </c>
      <c r="D29" s="12" t="str">
        <f>IF('INPUT LOG'!$A$23="","",'INPUT LOG'!$D$23)</f>
        <v/>
      </c>
      <c r="E29" s="12" t="str">
        <f>IF('INPUT LOG'!$A$23="","",'INPUT LOG'!$E$23)</f>
        <v/>
      </c>
      <c r="F29" s="14" t="str">
        <f>IF('INPUT LOG'!$A$23="","",'INPUT LOG'!$M$23)</f>
        <v/>
      </c>
      <c r="G29" s="14" t="str">
        <f>IF('INPUT LOG'!$A$23="","",'INPUT LOG'!$N$23)</f>
        <v/>
      </c>
      <c r="H29" s="12" t="str">
        <f>IF('INPUT LOG'!$A$23="","",'INPUT LOG'!$O$23)</f>
        <v/>
      </c>
    </row>
    <row r="30" spans="1:8" x14ac:dyDescent="0.25">
      <c r="A30" s="12" t="str">
        <f>IF('INPUT LOG'!$A$24="","",'INPUT LOG'!$A$24)</f>
        <v/>
      </c>
      <c r="B30" s="13" t="str">
        <f>IF('INPUT LOG'!$A$24="","",'INPUT LOG'!$B$24)</f>
        <v/>
      </c>
      <c r="C30" s="12" t="str">
        <f>IF('INPUT LOG'!$A$24="","",'INPUT LOG'!$C$24)</f>
        <v/>
      </c>
      <c r="D30" s="12" t="str">
        <f>IF('INPUT LOG'!$A$24="","",'INPUT LOG'!$D$24)</f>
        <v/>
      </c>
      <c r="E30" s="12" t="str">
        <f>IF('INPUT LOG'!$A$24="","",'INPUT LOG'!$E$24)</f>
        <v/>
      </c>
      <c r="F30" s="14" t="str">
        <f>IF('INPUT LOG'!$A$24="","",'INPUT LOG'!$M$24)</f>
        <v/>
      </c>
      <c r="G30" s="14" t="str">
        <f>IF('INPUT LOG'!$A$24="","",'INPUT LOG'!$N$24)</f>
        <v/>
      </c>
      <c r="H30" s="12" t="str">
        <f>IF('INPUT LOG'!$A$24="","",'INPUT LOG'!$O$24)</f>
        <v/>
      </c>
    </row>
    <row r="31" spans="1:8" x14ac:dyDescent="0.25">
      <c r="A31" s="12" t="str">
        <f>IF('INPUT LOG'!$A$25="","",'INPUT LOG'!$A$25)</f>
        <v/>
      </c>
      <c r="B31" s="13" t="str">
        <f>IF('INPUT LOG'!$A$25="","",'INPUT LOG'!$B$25)</f>
        <v/>
      </c>
      <c r="C31" s="12" t="str">
        <f>IF('INPUT LOG'!$A$25="","",'INPUT LOG'!$C$25)</f>
        <v/>
      </c>
      <c r="D31" s="12" t="str">
        <f>IF('INPUT LOG'!$A$25="","",'INPUT LOG'!$D$25)</f>
        <v/>
      </c>
      <c r="E31" s="12" t="str">
        <f>IF('INPUT LOG'!$A$25="","",'INPUT LOG'!$E$25)</f>
        <v/>
      </c>
      <c r="F31" s="14" t="str">
        <f>IF('INPUT LOG'!$A$25="","",'INPUT LOG'!$M$25)</f>
        <v/>
      </c>
      <c r="G31" s="14" t="str">
        <f>IF('INPUT LOG'!$A$25="","",'INPUT LOG'!$N$25)</f>
        <v/>
      </c>
      <c r="H31" s="12" t="str">
        <f>IF('INPUT LOG'!$A$25="","",'INPUT LOG'!$O$25)</f>
        <v/>
      </c>
    </row>
    <row r="32" spans="1:8" x14ac:dyDescent="0.25">
      <c r="A32" s="12" t="str">
        <f>IF('INPUT LOG'!$A$26="","",'INPUT LOG'!$A$26)</f>
        <v/>
      </c>
      <c r="B32" s="13" t="str">
        <f>IF('INPUT LOG'!$A$26="","",'INPUT LOG'!$B$26)</f>
        <v/>
      </c>
      <c r="C32" s="12" t="str">
        <f>IF('INPUT LOG'!$A$26="","",'INPUT LOG'!$C$26)</f>
        <v/>
      </c>
      <c r="D32" s="12" t="str">
        <f>IF('INPUT LOG'!$A$26="","",'INPUT LOG'!$D$26)</f>
        <v/>
      </c>
      <c r="E32" s="12" t="str">
        <f>IF('INPUT LOG'!$A$26="","",'INPUT LOG'!$E$26)</f>
        <v/>
      </c>
      <c r="F32" s="14" t="str">
        <f>IF('INPUT LOG'!$A$26="","",'INPUT LOG'!$M$26)</f>
        <v/>
      </c>
      <c r="G32" s="14" t="str">
        <f>IF('INPUT LOG'!$A$26="","",'INPUT LOG'!$N$26)</f>
        <v/>
      </c>
      <c r="H32" s="12" t="str">
        <f>IF('INPUT LOG'!$A$26="","",'INPUT LOG'!$O$26)</f>
        <v/>
      </c>
    </row>
    <row r="33" spans="1:8" x14ac:dyDescent="0.25">
      <c r="A33" s="12" t="str">
        <f>IF('INPUT LOG'!$A$27="","",'INPUT LOG'!$A$27)</f>
        <v/>
      </c>
      <c r="B33" s="13" t="str">
        <f>IF('INPUT LOG'!$A$27="","",'INPUT LOG'!$B$27)</f>
        <v/>
      </c>
      <c r="C33" s="12" t="str">
        <f>IF('INPUT LOG'!$A$27="","",'INPUT LOG'!$C$27)</f>
        <v/>
      </c>
      <c r="D33" s="12" t="str">
        <f>IF('INPUT LOG'!$A$27="","",'INPUT LOG'!$D$27)</f>
        <v/>
      </c>
      <c r="E33" s="12" t="str">
        <f>IF('INPUT LOG'!$A$27="","",'INPUT LOG'!$E$27)</f>
        <v/>
      </c>
      <c r="F33" s="14" t="str">
        <f>IF('INPUT LOG'!$A$27="","",'INPUT LOG'!$M$27)</f>
        <v/>
      </c>
      <c r="G33" s="14" t="str">
        <f>IF('INPUT LOG'!$A$27="","",'INPUT LOG'!$N$27)</f>
        <v/>
      </c>
      <c r="H33" s="12" t="str">
        <f>IF('INPUT LOG'!$A$27="","",'INPUT LOG'!$O$27)</f>
        <v/>
      </c>
    </row>
    <row r="34" spans="1:8" x14ac:dyDescent="0.25">
      <c r="A34" s="12" t="str">
        <f>IF('INPUT LOG'!$A$28="","",'INPUT LOG'!$A$28)</f>
        <v/>
      </c>
      <c r="B34" s="13" t="str">
        <f>IF('INPUT LOG'!$A$28="","",'INPUT LOG'!$B$28)</f>
        <v/>
      </c>
      <c r="C34" s="12" t="str">
        <f>IF('INPUT LOG'!$A$28="","",'INPUT LOG'!$C$28)</f>
        <v/>
      </c>
      <c r="D34" s="12" t="str">
        <f>IF('INPUT LOG'!$A$28="","",'INPUT LOG'!$D$28)</f>
        <v/>
      </c>
      <c r="E34" s="12" t="str">
        <f>IF('INPUT LOG'!$A$28="","",'INPUT LOG'!$E$28)</f>
        <v/>
      </c>
      <c r="F34" s="14" t="str">
        <f>IF('INPUT LOG'!$A$28="","",'INPUT LOG'!$M$28)</f>
        <v/>
      </c>
      <c r="G34" s="14" t="str">
        <f>IF('INPUT LOG'!$A$28="","",'INPUT LOG'!$N$28)</f>
        <v/>
      </c>
      <c r="H34" s="12" t="str">
        <f>IF('INPUT LOG'!$A$28="","",'INPUT LOG'!$O$28)</f>
        <v/>
      </c>
    </row>
    <row r="35" spans="1:8" x14ac:dyDescent="0.25">
      <c r="A35" s="12" t="str">
        <f>IF('INPUT LOG'!$A$29="","",'INPUT LOG'!$A$29)</f>
        <v/>
      </c>
      <c r="B35" s="13" t="str">
        <f>IF('INPUT LOG'!$A$29="","",'INPUT LOG'!$B$29)</f>
        <v/>
      </c>
      <c r="C35" s="12" t="str">
        <f>IF('INPUT LOG'!$A$29="","",'INPUT LOG'!$C$29)</f>
        <v/>
      </c>
      <c r="D35" s="12" t="str">
        <f>IF('INPUT LOG'!$A$29="","",'INPUT LOG'!$D$29)</f>
        <v/>
      </c>
      <c r="E35" s="12" t="str">
        <f>IF('INPUT LOG'!$A$29="","",'INPUT LOG'!$E$29)</f>
        <v/>
      </c>
      <c r="F35" s="14" t="str">
        <f>IF('INPUT LOG'!$A$29="","",'INPUT LOG'!$M$29)</f>
        <v/>
      </c>
      <c r="G35" s="14" t="str">
        <f>IF('INPUT LOG'!$A$29="","",'INPUT LOG'!$N$29)</f>
        <v/>
      </c>
      <c r="H35" s="12" t="str">
        <f>IF('INPUT LOG'!$A$29="","",'INPUT LOG'!$O$29)</f>
        <v/>
      </c>
    </row>
    <row r="36" spans="1:8" x14ac:dyDescent="0.25">
      <c r="A36" s="12" t="str">
        <f>IF('INPUT LOG'!$A$30="","",'INPUT LOG'!$A$30)</f>
        <v/>
      </c>
      <c r="B36" s="13" t="str">
        <f>IF('INPUT LOG'!$A$30="","",'INPUT LOG'!$B$30)</f>
        <v/>
      </c>
      <c r="C36" s="12" t="str">
        <f>IF('INPUT LOG'!$A$30="","",'INPUT LOG'!$C$30)</f>
        <v/>
      </c>
      <c r="D36" s="12" t="str">
        <f>IF('INPUT LOG'!$A$30="","",'INPUT LOG'!$D$30)</f>
        <v/>
      </c>
      <c r="E36" s="12" t="str">
        <f>IF('INPUT LOG'!$A$30="","",'INPUT LOG'!$E$30)</f>
        <v/>
      </c>
      <c r="F36" s="14" t="str">
        <f>IF('INPUT LOG'!$A$30="","",'INPUT LOG'!$M$30)</f>
        <v/>
      </c>
      <c r="G36" s="14" t="str">
        <f>IF('INPUT LOG'!$A$30="","",'INPUT LOG'!$N$30)</f>
        <v/>
      </c>
      <c r="H36" s="12" t="str">
        <f>IF('INPUT LOG'!$A$30="","",'INPUT LOG'!$O$30)</f>
        <v/>
      </c>
    </row>
    <row r="37" spans="1:8" x14ac:dyDescent="0.25">
      <c r="A37" s="12" t="str">
        <f>IF('INPUT LOG'!$A$31="","",'INPUT LOG'!$A$31)</f>
        <v/>
      </c>
      <c r="B37" s="13" t="str">
        <f>IF('INPUT LOG'!$A$31="","",'INPUT LOG'!$B$31)</f>
        <v/>
      </c>
      <c r="C37" s="12" t="str">
        <f>IF('INPUT LOG'!$A$31="","",'INPUT LOG'!$C$31)</f>
        <v/>
      </c>
      <c r="D37" s="12" t="str">
        <f>IF('INPUT LOG'!$A$31="","",'INPUT LOG'!$D$31)</f>
        <v/>
      </c>
      <c r="E37" s="12" t="str">
        <f>IF('INPUT LOG'!$A$31="","",'INPUT LOG'!$E$31)</f>
        <v/>
      </c>
      <c r="F37" s="14" t="str">
        <f>IF('INPUT LOG'!$A$31="","",'INPUT LOG'!$M$31)</f>
        <v/>
      </c>
      <c r="G37" s="14" t="str">
        <f>IF('INPUT LOG'!$A$31="","",'INPUT LOG'!$N$31)</f>
        <v/>
      </c>
      <c r="H37" s="12" t="str">
        <f>IF('INPUT LOG'!$A$31="","",'INPUT LOG'!$O$31)</f>
        <v/>
      </c>
    </row>
    <row r="38" spans="1:8" x14ac:dyDescent="0.25">
      <c r="A38" s="12" t="str">
        <f>IF('INPUT LOG'!$A$32="","",'INPUT LOG'!$A$32)</f>
        <v/>
      </c>
      <c r="B38" s="13" t="str">
        <f>IF('INPUT LOG'!$A$32="","",'INPUT LOG'!$B$32)</f>
        <v/>
      </c>
      <c r="C38" s="12" t="str">
        <f>IF('INPUT LOG'!$A$32="","",'INPUT LOG'!$C$32)</f>
        <v/>
      </c>
      <c r="D38" s="12" t="str">
        <f>IF('INPUT LOG'!$A$32="","",'INPUT LOG'!$D$32)</f>
        <v/>
      </c>
      <c r="E38" s="12" t="str">
        <f>IF('INPUT LOG'!$A$32="","",'INPUT LOG'!$E$32)</f>
        <v/>
      </c>
      <c r="F38" s="14" t="str">
        <f>IF('INPUT LOG'!$A$32="","",'INPUT LOG'!$M$32)</f>
        <v/>
      </c>
      <c r="G38" s="14" t="str">
        <f>IF('INPUT LOG'!$A$32="","",'INPUT LOG'!$N$32)</f>
        <v/>
      </c>
      <c r="H38" s="12" t="str">
        <f>IF('INPUT LOG'!$A$32="","",'INPUT LOG'!$O$32)</f>
        <v/>
      </c>
    </row>
    <row r="39" spans="1:8" x14ac:dyDescent="0.25">
      <c r="A39" s="12" t="str">
        <f>IF('INPUT LOG'!$A$33="","",'INPUT LOG'!$A$33)</f>
        <v/>
      </c>
      <c r="B39" s="13" t="str">
        <f>IF('INPUT LOG'!$A$33="","",'INPUT LOG'!$B$33)</f>
        <v/>
      </c>
      <c r="C39" s="12" t="str">
        <f>IF('INPUT LOG'!$A$33="","",'INPUT LOG'!$C$33)</f>
        <v/>
      </c>
      <c r="D39" s="12" t="str">
        <f>IF('INPUT LOG'!$A$33="","",'INPUT LOG'!$D$33)</f>
        <v/>
      </c>
      <c r="E39" s="12" t="str">
        <f>IF('INPUT LOG'!$A$33="","",'INPUT LOG'!$E$33)</f>
        <v/>
      </c>
      <c r="F39" s="14" t="str">
        <f>IF('INPUT LOG'!$A$33="","",'INPUT LOG'!$M$33)</f>
        <v/>
      </c>
      <c r="G39" s="14" t="str">
        <f>IF('INPUT LOG'!$A$33="","",'INPUT LOG'!$N$33)</f>
        <v/>
      </c>
      <c r="H39" s="12" t="str">
        <f>IF('INPUT LOG'!$A$33="","",'INPUT LOG'!$O$33)</f>
        <v/>
      </c>
    </row>
    <row r="40" spans="1:8" x14ac:dyDescent="0.25">
      <c r="A40" s="12" t="str">
        <f>IF('INPUT LOG'!$A$34="","",'INPUT LOG'!$A$34)</f>
        <v/>
      </c>
      <c r="B40" s="13" t="str">
        <f>IF('INPUT LOG'!$A$34="","",'INPUT LOG'!$B$34)</f>
        <v/>
      </c>
      <c r="C40" s="12" t="str">
        <f>IF('INPUT LOG'!$A$34="","",'INPUT LOG'!$C$34)</f>
        <v/>
      </c>
      <c r="D40" s="12" t="str">
        <f>IF('INPUT LOG'!$A$34="","",'INPUT LOG'!$D$34)</f>
        <v/>
      </c>
      <c r="E40" s="12" t="str">
        <f>IF('INPUT LOG'!$A$34="","",'INPUT LOG'!$E$34)</f>
        <v/>
      </c>
      <c r="F40" s="14" t="str">
        <f>IF('INPUT LOG'!$A$34="","",'INPUT LOG'!$M$34)</f>
        <v/>
      </c>
      <c r="G40" s="14" t="str">
        <f>IF('INPUT LOG'!$A$34="","",'INPUT LOG'!$N$34)</f>
        <v/>
      </c>
      <c r="H40" s="12" t="str">
        <f>IF('INPUT LOG'!$A$34="","",'INPUT LOG'!$O$34)</f>
        <v/>
      </c>
    </row>
    <row r="41" spans="1:8" x14ac:dyDescent="0.25">
      <c r="A41" s="12" t="str">
        <f>IF('INPUT LOG'!$A$35="","",'INPUT LOG'!$A$35)</f>
        <v/>
      </c>
      <c r="B41" s="13" t="str">
        <f>IF('INPUT LOG'!$A$35="","",'INPUT LOG'!$B$35)</f>
        <v/>
      </c>
      <c r="C41" s="12" t="str">
        <f>IF('INPUT LOG'!$A$35="","",'INPUT LOG'!$C$35)</f>
        <v/>
      </c>
      <c r="D41" s="12" t="str">
        <f>IF('INPUT LOG'!$A$35="","",'INPUT LOG'!$D$35)</f>
        <v/>
      </c>
      <c r="E41" s="12" t="str">
        <f>IF('INPUT LOG'!$A$35="","",'INPUT LOG'!$E$35)</f>
        <v/>
      </c>
      <c r="F41" s="14" t="str">
        <f>IF('INPUT LOG'!$A$35="","",'INPUT LOG'!$M$35)</f>
        <v/>
      </c>
      <c r="G41" s="14" t="str">
        <f>IF('INPUT LOG'!$A$35="","",'INPUT LOG'!$N$35)</f>
        <v/>
      </c>
      <c r="H41" s="12" t="str">
        <f>IF('INPUT LOG'!$A$35="","",'INPUT LOG'!$O$35)</f>
        <v/>
      </c>
    </row>
    <row r="42" spans="1:8" x14ac:dyDescent="0.25">
      <c r="A42" s="12" t="str">
        <f>IF('INPUT LOG'!$A$36="","",'INPUT LOG'!$A$36)</f>
        <v/>
      </c>
      <c r="B42" s="13" t="str">
        <f>IF('INPUT LOG'!$A$36="","",'INPUT LOG'!$B$36)</f>
        <v/>
      </c>
      <c r="C42" s="12" t="str">
        <f>IF('INPUT LOG'!$A$36="","",'INPUT LOG'!$C$36)</f>
        <v/>
      </c>
      <c r="D42" s="12" t="str">
        <f>IF('INPUT LOG'!$A$36="","",'INPUT LOG'!$D$36)</f>
        <v/>
      </c>
      <c r="E42" s="12" t="str">
        <f>IF('INPUT LOG'!$A$36="","",'INPUT LOG'!$E$36)</f>
        <v/>
      </c>
      <c r="F42" s="14" t="str">
        <f>IF('INPUT LOG'!$A$36="","",'INPUT LOG'!$M$36)</f>
        <v/>
      </c>
      <c r="G42" s="14" t="str">
        <f>IF('INPUT LOG'!$A$36="","",'INPUT LOG'!$N$36)</f>
        <v/>
      </c>
      <c r="H42" s="12" t="str">
        <f>IF('INPUT LOG'!$A$36="","",'INPUT LOG'!$O$36)</f>
        <v/>
      </c>
    </row>
    <row r="43" spans="1:8" x14ac:dyDescent="0.25">
      <c r="A43" s="12" t="str">
        <f>IF('INPUT LOG'!$A$37="","",'INPUT LOG'!$A$37)</f>
        <v/>
      </c>
      <c r="B43" s="13" t="str">
        <f>IF('INPUT LOG'!$A$37="","",'INPUT LOG'!$B$37)</f>
        <v/>
      </c>
      <c r="C43" s="12" t="str">
        <f>IF('INPUT LOG'!$A$37="","",'INPUT LOG'!$C$37)</f>
        <v/>
      </c>
      <c r="D43" s="12" t="str">
        <f>IF('INPUT LOG'!$A$37="","",'INPUT LOG'!$D$37)</f>
        <v/>
      </c>
      <c r="E43" s="12" t="str">
        <f>IF('INPUT LOG'!$A$37="","",'INPUT LOG'!$E$37)</f>
        <v/>
      </c>
      <c r="F43" s="14" t="str">
        <f>IF('INPUT LOG'!$A$37="","",'INPUT LOG'!$M$37)</f>
        <v/>
      </c>
      <c r="G43" s="14" t="str">
        <f>IF('INPUT LOG'!$A$37="","",'INPUT LOG'!$N$37)</f>
        <v/>
      </c>
      <c r="H43" s="12" t="str">
        <f>IF('INPUT LOG'!$A$37="","",'INPUT LOG'!$O$37)</f>
        <v/>
      </c>
    </row>
    <row r="44" spans="1:8" x14ac:dyDescent="0.25">
      <c r="A44" s="12" t="str">
        <f>IF('INPUT LOG'!$A$38="","",'INPUT LOG'!$A$38)</f>
        <v/>
      </c>
      <c r="B44" s="13" t="str">
        <f>IF('INPUT LOG'!$A$38="","",'INPUT LOG'!$B$38)</f>
        <v/>
      </c>
      <c r="C44" s="12" t="str">
        <f>IF('INPUT LOG'!$A$38="","",'INPUT LOG'!$C$38)</f>
        <v/>
      </c>
      <c r="D44" s="12" t="str">
        <f>IF('INPUT LOG'!$A$38="","",'INPUT LOG'!$D$38)</f>
        <v/>
      </c>
      <c r="E44" s="12" t="str">
        <f>IF('INPUT LOG'!$A$38="","",'INPUT LOG'!$E$38)</f>
        <v/>
      </c>
      <c r="F44" s="14" t="str">
        <f>IF('INPUT LOG'!$A$38="","",'INPUT LOG'!$M$38)</f>
        <v/>
      </c>
      <c r="G44" s="14" t="str">
        <f>IF('INPUT LOG'!$A$38="","",'INPUT LOG'!$N$38)</f>
        <v/>
      </c>
      <c r="H44" s="12" t="str">
        <f>IF('INPUT LOG'!$A$38="","",'INPUT LOG'!$O$38)</f>
        <v/>
      </c>
    </row>
    <row r="45" spans="1:8" x14ac:dyDescent="0.25">
      <c r="A45" s="12" t="str">
        <f>IF('INPUT LOG'!$A$39="","",'INPUT LOG'!$A$39)</f>
        <v/>
      </c>
      <c r="B45" s="13" t="str">
        <f>IF('INPUT LOG'!$A$39="","",'INPUT LOG'!$B$39)</f>
        <v/>
      </c>
      <c r="C45" s="12" t="str">
        <f>IF('INPUT LOG'!$A$39="","",'INPUT LOG'!$C$39)</f>
        <v/>
      </c>
      <c r="D45" s="12" t="str">
        <f>IF('INPUT LOG'!$A$39="","",'INPUT LOG'!$D$39)</f>
        <v/>
      </c>
      <c r="E45" s="12" t="str">
        <f>IF('INPUT LOG'!$A$39="","",'INPUT LOG'!$E$39)</f>
        <v/>
      </c>
      <c r="F45" s="14" t="str">
        <f>IF('INPUT LOG'!$A$39="","",'INPUT LOG'!$M$39)</f>
        <v/>
      </c>
      <c r="G45" s="14" t="str">
        <f>IF('INPUT LOG'!$A$39="","",'INPUT LOG'!$N$39)</f>
        <v/>
      </c>
      <c r="H45" s="12" t="str">
        <f>IF('INPUT LOG'!$A$39="","",'INPUT LOG'!$O$39)</f>
        <v/>
      </c>
    </row>
    <row r="46" spans="1:8" x14ac:dyDescent="0.25">
      <c r="A46" s="12" t="str">
        <f>IF('INPUT LOG'!$A$40="","",'INPUT LOG'!$A$40)</f>
        <v/>
      </c>
      <c r="B46" s="13" t="str">
        <f>IF('INPUT LOG'!$A$40="","",'INPUT LOG'!$B$40)</f>
        <v/>
      </c>
      <c r="C46" s="12" t="str">
        <f>IF('INPUT LOG'!$A$40="","",'INPUT LOG'!$C$40)</f>
        <v/>
      </c>
      <c r="D46" s="12" t="str">
        <f>IF('INPUT LOG'!$A$40="","",'INPUT LOG'!$D$40)</f>
        <v/>
      </c>
      <c r="E46" s="12" t="str">
        <f>IF('INPUT LOG'!$A$40="","",'INPUT LOG'!$E$40)</f>
        <v/>
      </c>
      <c r="F46" s="14" t="str">
        <f>IF('INPUT LOG'!$A$40="","",'INPUT LOG'!$M$40)</f>
        <v/>
      </c>
      <c r="G46" s="14" t="str">
        <f>IF('INPUT LOG'!$A$40="","",'INPUT LOG'!$N$40)</f>
        <v/>
      </c>
      <c r="H46" s="12" t="str">
        <f>IF('INPUT LOG'!$A$40="","",'INPUT LOG'!$O$40)</f>
        <v/>
      </c>
    </row>
    <row r="47" spans="1:8" x14ac:dyDescent="0.25">
      <c r="A47" s="12" t="str">
        <f>IF('INPUT LOG'!$A$41="","",'INPUT LOG'!$A$41)</f>
        <v/>
      </c>
      <c r="B47" s="13" t="str">
        <f>IF('INPUT LOG'!$A$41="","",'INPUT LOG'!$B$41)</f>
        <v/>
      </c>
      <c r="C47" s="12" t="str">
        <f>IF('INPUT LOG'!$A$41="","",'INPUT LOG'!$C$41)</f>
        <v/>
      </c>
      <c r="D47" s="12" t="str">
        <f>IF('INPUT LOG'!$A$41="","",'INPUT LOG'!$D$41)</f>
        <v/>
      </c>
      <c r="E47" s="12" t="str">
        <f>IF('INPUT LOG'!$A$41="","",'INPUT LOG'!$E$41)</f>
        <v/>
      </c>
      <c r="F47" s="14" t="str">
        <f>IF('INPUT LOG'!$A$41="","",'INPUT LOG'!$M$41)</f>
        <v/>
      </c>
      <c r="G47" s="14" t="str">
        <f>IF('INPUT LOG'!$A$41="","",'INPUT LOG'!$N$41)</f>
        <v/>
      </c>
      <c r="H47" s="12" t="str">
        <f>IF('INPUT LOG'!$A$41="","",'INPUT LOG'!$O$41)</f>
        <v/>
      </c>
    </row>
    <row r="48" spans="1:8" x14ac:dyDescent="0.25">
      <c r="A48" s="12" t="str">
        <f>IF('INPUT LOG'!$A$42="","",'INPUT LOG'!$A$42)</f>
        <v/>
      </c>
      <c r="B48" s="13" t="str">
        <f>IF('INPUT LOG'!$A$42="","",'INPUT LOG'!$B$42)</f>
        <v/>
      </c>
      <c r="C48" s="12" t="str">
        <f>IF('INPUT LOG'!$A$42="","",'INPUT LOG'!$C$42)</f>
        <v/>
      </c>
      <c r="D48" s="12" t="str">
        <f>IF('INPUT LOG'!$A$42="","",'INPUT LOG'!$D$42)</f>
        <v/>
      </c>
      <c r="E48" s="12" t="str">
        <f>IF('INPUT LOG'!$A$42="","",'INPUT LOG'!$E$42)</f>
        <v/>
      </c>
      <c r="F48" s="14" t="str">
        <f>IF('INPUT LOG'!$A$42="","",'INPUT LOG'!$M$42)</f>
        <v/>
      </c>
      <c r="G48" s="14" t="str">
        <f>IF('INPUT LOG'!$A$42="","",'INPUT LOG'!$N$42)</f>
        <v/>
      </c>
      <c r="H48" s="12" t="str">
        <f>IF('INPUT LOG'!$A$42="","",'INPUT LOG'!$O$42)</f>
        <v/>
      </c>
    </row>
    <row r="49" spans="1:8" x14ac:dyDescent="0.25">
      <c r="A49" s="12" t="str">
        <f>IF('INPUT LOG'!$A$43="","",'INPUT LOG'!$A$43)</f>
        <v/>
      </c>
      <c r="B49" s="13" t="str">
        <f>IF('INPUT LOG'!$A$43="","",'INPUT LOG'!$B$43)</f>
        <v/>
      </c>
      <c r="C49" s="12" t="str">
        <f>IF('INPUT LOG'!$A$43="","",'INPUT LOG'!$C$43)</f>
        <v/>
      </c>
      <c r="D49" s="12" t="str">
        <f>IF('INPUT LOG'!$A$43="","",'INPUT LOG'!$D$43)</f>
        <v/>
      </c>
      <c r="E49" s="12" t="str">
        <f>IF('INPUT LOG'!$A$43="","",'INPUT LOG'!$E$43)</f>
        <v/>
      </c>
      <c r="F49" s="14" t="str">
        <f>IF('INPUT LOG'!$A$43="","",'INPUT LOG'!$M$43)</f>
        <v/>
      </c>
      <c r="G49" s="14" t="str">
        <f>IF('INPUT LOG'!$A$43="","",'INPUT LOG'!$N$43)</f>
        <v/>
      </c>
      <c r="H49" s="12" t="str">
        <f>IF('INPUT LOG'!$A$43="","",'INPUT LOG'!$O$43)</f>
        <v/>
      </c>
    </row>
    <row r="50" spans="1:8" x14ac:dyDescent="0.25">
      <c r="A50" s="12" t="str">
        <f>IF('INPUT LOG'!$A$44="","",'INPUT LOG'!$A$44)</f>
        <v/>
      </c>
      <c r="B50" s="13" t="str">
        <f>IF('INPUT LOG'!$A$44="","",'INPUT LOG'!$B$44)</f>
        <v/>
      </c>
      <c r="C50" s="12" t="str">
        <f>IF('INPUT LOG'!$A$44="","",'INPUT LOG'!$C$44)</f>
        <v/>
      </c>
      <c r="D50" s="12" t="str">
        <f>IF('INPUT LOG'!$A$44="","",'INPUT LOG'!$D$44)</f>
        <v/>
      </c>
      <c r="E50" s="12" t="str">
        <f>IF('INPUT LOG'!$A$44="","",'INPUT LOG'!$E$44)</f>
        <v/>
      </c>
      <c r="F50" s="14" t="str">
        <f>IF('INPUT LOG'!$A$44="","",'INPUT LOG'!$M$44)</f>
        <v/>
      </c>
      <c r="G50" s="14" t="str">
        <f>IF('INPUT LOG'!$A$44="","",'INPUT LOG'!$N$44)</f>
        <v/>
      </c>
      <c r="H50" s="12" t="str">
        <f>IF('INPUT LOG'!$A$44="","",'INPUT LOG'!$O$44)</f>
        <v/>
      </c>
    </row>
    <row r="51" spans="1:8" x14ac:dyDescent="0.25">
      <c r="A51" s="12" t="str">
        <f>IF('INPUT LOG'!$A$45="","",'INPUT LOG'!$A$45)</f>
        <v/>
      </c>
      <c r="B51" s="13" t="str">
        <f>IF('INPUT LOG'!$A$45="","",'INPUT LOG'!$B$45)</f>
        <v/>
      </c>
      <c r="C51" s="12" t="str">
        <f>IF('INPUT LOG'!$A$45="","",'INPUT LOG'!$C$45)</f>
        <v/>
      </c>
      <c r="D51" s="12" t="str">
        <f>IF('INPUT LOG'!$A$45="","",'INPUT LOG'!$D$45)</f>
        <v/>
      </c>
      <c r="E51" s="12" t="str">
        <f>IF('INPUT LOG'!$A$45="","",'INPUT LOG'!$E$45)</f>
        <v/>
      </c>
      <c r="F51" s="14" t="str">
        <f>IF('INPUT LOG'!$A$45="","",'INPUT LOG'!$M$45)</f>
        <v/>
      </c>
      <c r="G51" s="14" t="str">
        <f>IF('INPUT LOG'!$A$45="","",'INPUT LOG'!$N$45)</f>
        <v/>
      </c>
      <c r="H51" s="12" t="str">
        <f>IF('INPUT LOG'!$A$45="","",'INPUT LOG'!$O$45)</f>
        <v/>
      </c>
    </row>
    <row r="52" spans="1:8" x14ac:dyDescent="0.25">
      <c r="A52" s="12" t="str">
        <f>IF('INPUT LOG'!$A$46="","",'INPUT LOG'!$A$46)</f>
        <v/>
      </c>
      <c r="B52" s="13" t="str">
        <f>IF('INPUT LOG'!$A$46="","",'INPUT LOG'!$B$46)</f>
        <v/>
      </c>
      <c r="C52" s="12" t="str">
        <f>IF('INPUT LOG'!$A$46="","",'INPUT LOG'!$C$46)</f>
        <v/>
      </c>
      <c r="D52" s="12" t="str">
        <f>IF('INPUT LOG'!$A$46="","",'INPUT LOG'!$D$46)</f>
        <v/>
      </c>
      <c r="E52" s="12" t="str">
        <f>IF('INPUT LOG'!$A$46="","",'INPUT LOG'!$E$46)</f>
        <v/>
      </c>
      <c r="F52" s="14" t="str">
        <f>IF('INPUT LOG'!$A$46="","",'INPUT LOG'!$M$46)</f>
        <v/>
      </c>
      <c r="G52" s="14" t="str">
        <f>IF('INPUT LOG'!$A$46="","",'INPUT LOG'!$N$46)</f>
        <v/>
      </c>
      <c r="H52" s="12" t="str">
        <f>IF('INPUT LOG'!$A$46="","",'INPUT LOG'!$O$46)</f>
        <v/>
      </c>
    </row>
    <row r="53" spans="1:8" x14ac:dyDescent="0.25">
      <c r="A53" s="12" t="str">
        <f>IF('INPUT LOG'!$A$47="","",'INPUT LOG'!$A$47)</f>
        <v/>
      </c>
      <c r="B53" s="13" t="str">
        <f>IF('INPUT LOG'!$A$47="","",'INPUT LOG'!$B$47)</f>
        <v/>
      </c>
      <c r="C53" s="12" t="str">
        <f>IF('INPUT LOG'!$A$47="","",'INPUT LOG'!$C$47)</f>
        <v/>
      </c>
      <c r="D53" s="12" t="str">
        <f>IF('INPUT LOG'!$A$47="","",'INPUT LOG'!$D$47)</f>
        <v/>
      </c>
      <c r="E53" s="12" t="str">
        <f>IF('INPUT LOG'!$A$47="","",'INPUT LOG'!$E$47)</f>
        <v/>
      </c>
      <c r="F53" s="14" t="str">
        <f>IF('INPUT LOG'!$A$47="","",'INPUT LOG'!$M$47)</f>
        <v/>
      </c>
      <c r="G53" s="14" t="str">
        <f>IF('INPUT LOG'!$A$47="","",'INPUT LOG'!$N$47)</f>
        <v/>
      </c>
      <c r="H53" s="12" t="str">
        <f>IF('INPUT LOG'!$A$47="","",'INPUT LOG'!$O$47)</f>
        <v/>
      </c>
    </row>
    <row r="54" spans="1:8" x14ac:dyDescent="0.25">
      <c r="A54" s="12" t="str">
        <f>IF('INPUT LOG'!$A$48="","",'INPUT LOG'!$A$48)</f>
        <v/>
      </c>
      <c r="B54" s="13" t="str">
        <f>IF('INPUT LOG'!$A$48="","",'INPUT LOG'!$B$48)</f>
        <v/>
      </c>
      <c r="C54" s="12" t="str">
        <f>IF('INPUT LOG'!$A$48="","",'INPUT LOG'!$C$48)</f>
        <v/>
      </c>
      <c r="D54" s="12" t="str">
        <f>IF('INPUT LOG'!$A$48="","",'INPUT LOG'!$D$48)</f>
        <v/>
      </c>
      <c r="E54" s="12" t="str">
        <f>IF('INPUT LOG'!$A$48="","",'INPUT LOG'!$E$48)</f>
        <v/>
      </c>
      <c r="F54" s="14" t="str">
        <f>IF('INPUT LOG'!$A$48="","",'INPUT LOG'!$M$48)</f>
        <v/>
      </c>
      <c r="G54" s="14" t="str">
        <f>IF('INPUT LOG'!$A$48="","",'INPUT LOG'!$N$48)</f>
        <v/>
      </c>
      <c r="H54" s="12" t="str">
        <f>IF('INPUT LOG'!$A$48="","",'INPUT LOG'!$O$48)</f>
        <v/>
      </c>
    </row>
    <row r="55" spans="1:8" x14ac:dyDescent="0.25">
      <c r="A55" s="12" t="str">
        <f>IF('INPUT LOG'!$A$49="","",'INPUT LOG'!$A$49)</f>
        <v/>
      </c>
      <c r="B55" s="13" t="str">
        <f>IF('INPUT LOG'!$A$49="","",'INPUT LOG'!$B$49)</f>
        <v/>
      </c>
      <c r="C55" s="12" t="str">
        <f>IF('INPUT LOG'!$A$49="","",'INPUT LOG'!$C$49)</f>
        <v/>
      </c>
      <c r="D55" s="12" t="str">
        <f>IF('INPUT LOG'!$A$49="","",'INPUT LOG'!$D$49)</f>
        <v/>
      </c>
      <c r="E55" s="12" t="str">
        <f>IF('INPUT LOG'!$A$49="","",'INPUT LOG'!$E$49)</f>
        <v/>
      </c>
      <c r="F55" s="14" t="str">
        <f>IF('INPUT LOG'!$A$49="","",'INPUT LOG'!$M$49)</f>
        <v/>
      </c>
      <c r="G55" s="14" t="str">
        <f>IF('INPUT LOG'!$A$49="","",'INPUT LOG'!$N$49)</f>
        <v/>
      </c>
      <c r="H55" s="12" t="str">
        <f>IF('INPUT LOG'!$A$49="","",'INPUT LOG'!$O$49)</f>
        <v/>
      </c>
    </row>
    <row r="56" spans="1:8" x14ac:dyDescent="0.25">
      <c r="A56" s="12" t="str">
        <f>IF('INPUT LOG'!$A$50="","",'INPUT LOG'!$A$50)</f>
        <v/>
      </c>
      <c r="B56" s="13" t="str">
        <f>IF('INPUT LOG'!$A$50="","",'INPUT LOG'!$B$50)</f>
        <v/>
      </c>
      <c r="C56" s="12" t="str">
        <f>IF('INPUT LOG'!$A$50="","",'INPUT LOG'!$C$50)</f>
        <v/>
      </c>
      <c r="D56" s="12" t="str">
        <f>IF('INPUT LOG'!$A$50="","",'INPUT LOG'!$D$50)</f>
        <v/>
      </c>
      <c r="E56" s="12" t="str">
        <f>IF('INPUT LOG'!$A$50="","",'INPUT LOG'!$E$50)</f>
        <v/>
      </c>
      <c r="F56" s="14" t="str">
        <f>IF('INPUT LOG'!$A$50="","",'INPUT LOG'!$M$50)</f>
        <v/>
      </c>
      <c r="G56" s="14" t="str">
        <f>IF('INPUT LOG'!$A$50="","",'INPUT LOG'!$N$50)</f>
        <v/>
      </c>
      <c r="H56" s="12" t="str">
        <f>IF('INPUT LOG'!$A$50="","",'INPUT LOG'!$O$50)</f>
        <v/>
      </c>
    </row>
    <row r="57" spans="1:8" x14ac:dyDescent="0.25">
      <c r="A57" s="12" t="str">
        <f>IF('INPUT LOG'!$A$51="","",'INPUT LOG'!$A$51)</f>
        <v/>
      </c>
      <c r="B57" s="13" t="str">
        <f>IF('INPUT LOG'!$A$51="","",'INPUT LOG'!$B$51)</f>
        <v/>
      </c>
      <c r="C57" s="12" t="str">
        <f>IF('INPUT LOG'!$A$51="","",'INPUT LOG'!$C$51)</f>
        <v/>
      </c>
      <c r="D57" s="12" t="str">
        <f>IF('INPUT LOG'!$A$51="","",'INPUT LOG'!$D$51)</f>
        <v/>
      </c>
      <c r="E57" s="12" t="str">
        <f>IF('INPUT LOG'!$A$51="","",'INPUT LOG'!$E$51)</f>
        <v/>
      </c>
      <c r="F57" s="14" t="str">
        <f>IF('INPUT LOG'!$A$51="","",'INPUT LOG'!$M$51)</f>
        <v/>
      </c>
      <c r="G57" s="14" t="str">
        <f>IF('INPUT LOG'!$A$51="","",'INPUT LOG'!$N$51)</f>
        <v/>
      </c>
      <c r="H57" s="12" t="str">
        <f>IF('INPUT LOG'!$A$51="","",'INPUT LOG'!$O$51)</f>
        <v/>
      </c>
    </row>
    <row r="58" spans="1:8" x14ac:dyDescent="0.25">
      <c r="A58" s="12" t="str">
        <f>IF('INPUT LOG'!$A$52="","",'INPUT LOG'!$A$52)</f>
        <v/>
      </c>
      <c r="B58" s="13" t="str">
        <f>IF('INPUT LOG'!$A$52="","",'INPUT LOG'!$B$52)</f>
        <v/>
      </c>
      <c r="C58" s="12" t="str">
        <f>IF('INPUT LOG'!$A$52="","",'INPUT LOG'!$C$52)</f>
        <v/>
      </c>
      <c r="D58" s="12" t="str">
        <f>IF('INPUT LOG'!$A$52="","",'INPUT LOG'!$D$52)</f>
        <v/>
      </c>
      <c r="E58" s="12" t="str">
        <f>IF('INPUT LOG'!$A$52="","",'INPUT LOG'!$E$52)</f>
        <v/>
      </c>
      <c r="F58" s="14" t="str">
        <f>IF('INPUT LOG'!$A$52="","",'INPUT LOG'!$M$52)</f>
        <v/>
      </c>
      <c r="G58" s="14" t="str">
        <f>IF('INPUT LOG'!$A$52="","",'INPUT LOG'!$N$52)</f>
        <v/>
      </c>
      <c r="H58" s="12" t="str">
        <f>IF('INPUT LOG'!$A$52="","",'INPUT LOG'!$O$52)</f>
        <v/>
      </c>
    </row>
    <row r="59" spans="1:8" x14ac:dyDescent="0.25">
      <c r="A59" s="12" t="str">
        <f>IF('INPUT LOG'!$A$53="","",'INPUT LOG'!$A$53)</f>
        <v/>
      </c>
      <c r="B59" s="13" t="str">
        <f>IF('INPUT LOG'!$A$53="","",'INPUT LOG'!$B$53)</f>
        <v/>
      </c>
      <c r="C59" s="12" t="str">
        <f>IF('INPUT LOG'!$A$53="","",'INPUT LOG'!$C$53)</f>
        <v/>
      </c>
      <c r="D59" s="12" t="str">
        <f>IF('INPUT LOG'!$A$53="","",'INPUT LOG'!$D$53)</f>
        <v/>
      </c>
      <c r="E59" s="12" t="str">
        <f>IF('INPUT LOG'!$A$53="","",'INPUT LOG'!$E$53)</f>
        <v/>
      </c>
      <c r="F59" s="14" t="str">
        <f>IF('INPUT LOG'!$A$53="","",'INPUT LOG'!$M$53)</f>
        <v/>
      </c>
      <c r="G59" s="14" t="str">
        <f>IF('INPUT LOG'!$A$53="","",'INPUT LOG'!$N$53)</f>
        <v/>
      </c>
      <c r="H59" s="12" t="str">
        <f>IF('INPUT LOG'!$A$53="","",'INPUT LOG'!$O$53)</f>
        <v/>
      </c>
    </row>
    <row r="60" spans="1:8" x14ac:dyDescent="0.25">
      <c r="A60" s="12" t="str">
        <f>IF('INPUT LOG'!$A$54="","",'INPUT LOG'!$A$54)</f>
        <v/>
      </c>
      <c r="B60" s="13" t="str">
        <f>IF('INPUT LOG'!$A$54="","",'INPUT LOG'!$B$54)</f>
        <v/>
      </c>
      <c r="C60" s="12" t="str">
        <f>IF('INPUT LOG'!$A$54="","",'INPUT LOG'!$C$54)</f>
        <v/>
      </c>
      <c r="D60" s="12" t="str">
        <f>IF('INPUT LOG'!$A$54="","",'INPUT LOG'!$D$54)</f>
        <v/>
      </c>
      <c r="E60" s="12" t="str">
        <f>IF('INPUT LOG'!$A$54="","",'INPUT LOG'!$E$54)</f>
        <v/>
      </c>
      <c r="F60" s="14" t="str">
        <f>IF('INPUT LOG'!$A$54="","",'INPUT LOG'!$M$54)</f>
        <v/>
      </c>
      <c r="G60" s="14" t="str">
        <f>IF('INPUT LOG'!$A$54="","",'INPUT LOG'!$N$54)</f>
        <v/>
      </c>
      <c r="H60" s="12" t="str">
        <f>IF('INPUT LOG'!$A$54="","",'INPUT LOG'!$O$54)</f>
        <v/>
      </c>
    </row>
  </sheetData>
  <autoFilter ref="A10:H60" xr:uid="{00000000-0009-0000-0000-000004000000}"/>
  <mergeCells count="10">
    <mergeCell ref="A4:B4"/>
    <mergeCell ref="G4:H4"/>
    <mergeCell ref="A1:J1"/>
    <mergeCell ref="J4:K4"/>
    <mergeCell ref="D5:E6"/>
    <mergeCell ref="A5:B6"/>
    <mergeCell ref="G5:H6"/>
    <mergeCell ref="D4:E4"/>
    <mergeCell ref="A2:J2"/>
    <mergeCell ref="J5:K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19" customWidth="1"/>
    <col min="4" max="5" width="18" customWidth="1"/>
    <col min="6" max="6" width="16" customWidth="1"/>
    <col min="7" max="7" width="13" customWidth="1"/>
    <col min="8" max="8" width="31" customWidth="1"/>
  </cols>
  <sheetData>
    <row r="1" spans="1:10" ht="32.1" customHeight="1" x14ac:dyDescent="0.25">
      <c r="A1" s="15" t="s">
        <v>106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 x14ac:dyDescent="0.25">
      <c r="A2" s="26" t="s">
        <v>107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25">
      <c r="A4" s="6" t="s">
        <v>108</v>
      </c>
      <c r="B4" s="6" t="s">
        <v>76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113</v>
      </c>
      <c r="H4" s="6" t="s">
        <v>84</v>
      </c>
    </row>
    <row r="5" spans="1:10" x14ac:dyDescent="0.25">
      <c r="A5" s="7" t="s">
        <v>114</v>
      </c>
      <c r="B5" s="7" t="s">
        <v>85</v>
      </c>
      <c r="C5" s="11">
        <v>5.0199999999999996</v>
      </c>
      <c r="D5" s="10">
        <f>IFERROR(INDEX('INPUT LOG'!$M$5:$M$54,MATCH($B5,'INPUT LOG'!$A$5:$A$54,0)),"")</f>
        <v>5.0199999999999996</v>
      </c>
      <c r="E5" s="7" t="s">
        <v>102</v>
      </c>
      <c r="F5" s="9" t="str">
        <f>IFERROR(INDEX('INPUT LOG'!$O$5:$O$54,MATCH($B5,'INPUT LOG'!$A$5:$A$54,0)),"")</f>
        <v>PASS</v>
      </c>
      <c r="G5" s="9" t="str">
        <f>IF(AND(ABS($C5-$D5)&lt;0.000001,$E5=$F5),"PASS","CHECK")</f>
        <v>PASS</v>
      </c>
      <c r="H5" s="7" t="s">
        <v>115</v>
      </c>
    </row>
    <row r="6" spans="1:10" x14ac:dyDescent="0.25">
      <c r="A6" s="7" t="s">
        <v>116</v>
      </c>
      <c r="B6" s="7" t="s">
        <v>87</v>
      </c>
      <c r="C6" s="11">
        <v>100.2</v>
      </c>
      <c r="D6" s="10">
        <f>IFERROR(INDEX('INPUT LOG'!$M$5:$M$54,MATCH($B6,'INPUT LOG'!$A$5:$A$54,0)),"")</f>
        <v>100.2</v>
      </c>
      <c r="E6" s="7" t="s">
        <v>102</v>
      </c>
      <c r="F6" s="9" t="str">
        <f>IFERROR(INDEX('INPUT LOG'!$O$5:$O$54,MATCH($B6,'INPUT LOG'!$A$5:$A$54,0)),"")</f>
        <v>PASS</v>
      </c>
      <c r="G6" s="9" t="str">
        <f>IF(AND(ABS($C6-$D6)&lt;0.000001,$E6=$F6),"PASS","CHECK")</f>
        <v>PASS</v>
      </c>
      <c r="H6" s="7" t="s">
        <v>117</v>
      </c>
    </row>
    <row r="7" spans="1:10" x14ac:dyDescent="0.25">
      <c r="A7" s="7" t="s">
        <v>118</v>
      </c>
      <c r="B7" s="7" t="s">
        <v>88</v>
      </c>
      <c r="C7" s="11">
        <v>51.1</v>
      </c>
      <c r="D7" s="10">
        <f>IFERROR(INDEX('INPUT LOG'!$M$5:$M$54,MATCH($B7,'INPUT LOG'!$A$5:$A$54,0)),"")</f>
        <v>51.1</v>
      </c>
      <c r="E7" s="7" t="s">
        <v>119</v>
      </c>
      <c r="F7" s="9" t="str">
        <f>IFERROR(INDEX('INPUT LOG'!$O$5:$O$54,MATCH($B7,'INPUT LOG'!$A$5:$A$54,0)),"")</f>
        <v>REVIEW</v>
      </c>
      <c r="G7" s="9" t="str">
        <f>IF(AND(ABS($C7-$D7)&lt;0.000001,$E7=$F7),"PASS","CHECK")</f>
        <v>PASS</v>
      </c>
      <c r="H7" s="7" t="s">
        <v>120</v>
      </c>
    </row>
    <row r="8" spans="1:10" x14ac:dyDescent="0.25">
      <c r="A8" s="7" t="s">
        <v>121</v>
      </c>
      <c r="B8" s="7" t="s">
        <v>90</v>
      </c>
      <c r="C8" s="11">
        <v>25.0133333333</v>
      </c>
      <c r="D8" s="10">
        <f>IFERROR(INDEX('INPUT LOG'!$M$5:$M$54,MATCH($B8,'INPUT LOG'!$A$5:$A$54,0)),"")</f>
        <v>25.013333333333335</v>
      </c>
      <c r="E8" s="7" t="s">
        <v>102</v>
      </c>
      <c r="F8" s="9" t="str">
        <f>IFERROR(INDEX('INPUT LOG'!$O$5:$O$54,MATCH($B8,'INPUT LOG'!$A$5:$A$54,0)),"")</f>
        <v>PASS</v>
      </c>
      <c r="G8" s="9" t="str">
        <f>IF(AND(ABS($C8-$D8)&lt;0.000001,$E8=$F8),"PASS","CHECK")</f>
        <v>PASS</v>
      </c>
      <c r="H8" s="7" t="s">
        <v>122</v>
      </c>
    </row>
    <row r="9" spans="1:10" x14ac:dyDescent="0.25">
      <c r="A9" s="7" t="s">
        <v>123</v>
      </c>
      <c r="B9" s="7" t="s">
        <v>91</v>
      </c>
      <c r="C9" s="11">
        <v>10.0333333333</v>
      </c>
      <c r="D9" s="10">
        <f>IFERROR(INDEX('INPUT LOG'!$M$5:$M$54,MATCH($B9,'INPUT LOG'!$A$5:$A$54,0)),"")</f>
        <v>10.033333333333333</v>
      </c>
      <c r="E9" s="7" t="s">
        <v>119</v>
      </c>
      <c r="F9" s="9" t="str">
        <f>IFERROR(INDEX('INPUT LOG'!$O$5:$O$54,MATCH($B9,'INPUT LOG'!$A$5:$A$54,0)),"")</f>
        <v>REVIEW</v>
      </c>
      <c r="G9" s="9" t="str">
        <f>IF(AND(ABS($C9-$D9)&lt;0.000001,$E9=$F9),"PASS","CHECK")</f>
        <v>PASS</v>
      </c>
      <c r="H9" s="7" t="s">
        <v>124</v>
      </c>
    </row>
    <row r="12" spans="1:10" x14ac:dyDescent="0.25">
      <c r="A12" s="1" t="s">
        <v>125</v>
      </c>
    </row>
    <row r="13" spans="1:10" x14ac:dyDescent="0.25">
      <c r="A13" s="19" t="s">
        <v>126</v>
      </c>
      <c r="B13" s="16"/>
      <c r="C13" s="16"/>
      <c r="D13" s="16"/>
      <c r="E13" s="16"/>
      <c r="F13" s="16"/>
      <c r="G13" s="16"/>
      <c r="H13" s="16"/>
    </row>
    <row r="14" spans="1:10" x14ac:dyDescent="0.25">
      <c r="A14" s="16"/>
      <c r="B14" s="16"/>
      <c r="C14" s="16"/>
      <c r="D14" s="16"/>
      <c r="E14" s="16"/>
      <c r="F14" s="16"/>
      <c r="G14" s="16"/>
      <c r="H14" s="16"/>
    </row>
    <row r="15" spans="1:10" x14ac:dyDescent="0.25">
      <c r="A15" s="16"/>
      <c r="B15" s="16"/>
      <c r="C15" s="16"/>
      <c r="D15" s="16"/>
      <c r="E15" s="16"/>
      <c r="F15" s="16"/>
      <c r="G15" s="16"/>
      <c r="H15" s="16"/>
    </row>
  </sheetData>
  <mergeCells count="3">
    <mergeCell ref="A13:H15"/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1" customWidth="1"/>
    <col min="2" max="2" width="14" customWidth="1"/>
    <col min="3" max="3" width="21" customWidth="1"/>
    <col min="4" max="4" width="44" customWidth="1"/>
    <col min="5" max="5" width="27" customWidth="1"/>
    <col min="6" max="6" width="32" customWidth="1"/>
    <col min="7" max="7" width="18" customWidth="1"/>
    <col min="8" max="8" width="14" customWidth="1"/>
  </cols>
  <sheetData>
    <row r="1" spans="1:10" ht="32.1" customHeight="1" x14ac:dyDescent="0.25">
      <c r="A1" s="15" t="s">
        <v>127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 x14ac:dyDescent="0.25">
      <c r="A2" s="26" t="s">
        <v>128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25">
      <c r="A4" s="6" t="s">
        <v>129</v>
      </c>
      <c r="B4" s="6" t="s">
        <v>77</v>
      </c>
      <c r="C4" s="6" t="s">
        <v>130</v>
      </c>
      <c r="D4" s="6" t="s">
        <v>131</v>
      </c>
      <c r="E4" s="6" t="s">
        <v>132</v>
      </c>
      <c r="F4" s="6" t="s">
        <v>133</v>
      </c>
      <c r="G4" s="6" t="s">
        <v>134</v>
      </c>
      <c r="H4" s="6" t="s">
        <v>83</v>
      </c>
    </row>
    <row r="5" spans="1:10" ht="30" x14ac:dyDescent="0.25">
      <c r="A5" s="12" t="s">
        <v>135</v>
      </c>
      <c r="B5" s="13">
        <v>46291</v>
      </c>
      <c r="C5" s="12" t="s">
        <v>136</v>
      </c>
      <c r="D5" s="12" t="s">
        <v>137</v>
      </c>
      <c r="E5" s="12" t="s">
        <v>138</v>
      </c>
      <c r="F5" s="12" t="s">
        <v>139</v>
      </c>
      <c r="G5" s="12" t="s">
        <v>140</v>
      </c>
      <c r="H5" s="12" t="s">
        <v>141</v>
      </c>
    </row>
    <row r="6" spans="1:10" ht="30" x14ac:dyDescent="0.25">
      <c r="A6" s="12" t="s">
        <v>135</v>
      </c>
      <c r="B6" s="13">
        <v>46291</v>
      </c>
      <c r="C6" s="12" t="s">
        <v>142</v>
      </c>
      <c r="D6" s="12" t="s">
        <v>143</v>
      </c>
      <c r="E6" s="12" t="s">
        <v>144</v>
      </c>
      <c r="F6" s="12" t="s">
        <v>139</v>
      </c>
      <c r="G6" s="12" t="s">
        <v>140</v>
      </c>
      <c r="H6" s="12" t="s">
        <v>141</v>
      </c>
    </row>
    <row r="7" spans="1:10" ht="30" x14ac:dyDescent="0.25">
      <c r="A7" s="12" t="s">
        <v>135</v>
      </c>
      <c r="B7" s="13">
        <v>46291</v>
      </c>
      <c r="C7" s="12" t="s">
        <v>145</v>
      </c>
      <c r="D7" s="12" t="s">
        <v>146</v>
      </c>
      <c r="E7" s="12" t="s">
        <v>147</v>
      </c>
      <c r="F7" s="12" t="s">
        <v>148</v>
      </c>
      <c r="G7" s="12" t="s">
        <v>140</v>
      </c>
      <c r="H7" s="12" t="s">
        <v>141</v>
      </c>
    </row>
    <row r="8" spans="1:10" x14ac:dyDescent="0.25">
      <c r="A8" s="7"/>
      <c r="B8" s="7"/>
      <c r="C8" s="7"/>
      <c r="D8" s="7"/>
      <c r="E8" s="7"/>
      <c r="F8" s="7"/>
      <c r="G8" s="7"/>
      <c r="H8" s="7"/>
    </row>
    <row r="9" spans="1:10" x14ac:dyDescent="0.25">
      <c r="A9" s="7"/>
      <c r="B9" s="7"/>
      <c r="C9" s="7"/>
      <c r="D9" s="7"/>
      <c r="E9" s="7"/>
      <c r="F9" s="7"/>
      <c r="G9" s="7"/>
      <c r="H9" s="7"/>
    </row>
    <row r="10" spans="1:10" x14ac:dyDescent="0.25">
      <c r="A10" s="7"/>
      <c r="B10" s="7"/>
      <c r="C10" s="7"/>
      <c r="D10" s="7"/>
      <c r="E10" s="7"/>
      <c r="F10" s="7"/>
      <c r="G10" s="7"/>
      <c r="H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START HERE</vt:lpstr>
      <vt:lpstr>MASTER DATA</vt:lpstr>
      <vt:lpstr>INPUT LOG</vt:lpstr>
      <vt:lpstr>CALCULATION</vt:lpstr>
      <vt:lpstr>REPORT</vt:lpstr>
      <vt:lpstr>VALIDATION</vt:lpstr>
      <vt:lpstr>CHANGE LOG</vt:lpstr>
      <vt:lpstr>AssetIDs</vt:lpstr>
      <vt:lpstr>Technicians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Contoh perbaikan template Excel</dc:title>
  <dc:subject>Contoh input teknisi, master data, perhitungan, laporan, dan pemeriksaan hasil</dc:subject>
  <dc:creator>[Nama Anda]</dc:creator>
  <dc:description>Contoh dibuat ulang dari pengalaman sebelumnya. Semua data bersifat fiktif.</dc:description>
  <cp:lastModifiedBy>k109</cp:lastModifiedBy>
  <dcterms:created xsi:type="dcterms:W3CDTF">2026-09-25T18:32:56Z</dcterms:created>
  <dcterms:modified xsi:type="dcterms:W3CDTF">2026-09-25T18:32:58Z</dcterms:modified>
</cp:coreProperties>
</file>